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72E2FB87-3E44-4FCE-AFD2-82AFF104B7E5}" xr6:coauthVersionLast="47" xr6:coauthVersionMax="47" xr10:uidLastSave="{00000000-0000-0000-0000-000000000000}"/>
  <bookViews>
    <workbookView xWindow="-110" yWindow="-110" windowWidth="19420" windowHeight="10420" firstSheet="3" activeTab="3" xr2:uid="{AACBAEBD-F012-4269-A3B9-168C8D706687}"/>
  </bookViews>
  <sheets>
    <sheet name="Introduction" sheetId="5" r:id="rId1"/>
    <sheet name="Revenue" sheetId="7" r:id="rId2"/>
    <sheet name="Revenue Dash" sheetId="1" r:id="rId3"/>
    <sheet name="Concerns" sheetId="8" r:id="rId4"/>
    <sheet name="Concerns Dash" sheetId="6" r:id="rId5"/>
    <sheet name="Revenue - Data" sheetId="2" r:id="rId6"/>
    <sheet name="Concerns dash data" sheetId="9" r:id="rId7"/>
    <sheet name="Concerns barplot Data" sheetId="4" r:id="rId8"/>
    <sheet name="Validation" sheetId="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5" i="6" l="1"/>
  <c r="D5" i="6"/>
  <c r="B5" i="6"/>
  <c r="F3" i="9"/>
  <c r="G3" i="9"/>
  <c r="H3" i="9"/>
  <c r="F4" i="9"/>
  <c r="G4" i="9"/>
  <c r="H4" i="9"/>
  <c r="F5" i="9"/>
  <c r="G5" i="9"/>
  <c r="H5" i="9"/>
  <c r="F6" i="9"/>
  <c r="G6" i="9"/>
  <c r="H6" i="9"/>
  <c r="F7" i="9"/>
  <c r="G7" i="9"/>
  <c r="H7" i="9"/>
  <c r="F8" i="9"/>
  <c r="G8" i="9"/>
  <c r="H8" i="9"/>
  <c r="F9" i="9"/>
  <c r="G9" i="9"/>
  <c r="H9" i="9"/>
  <c r="F10" i="9"/>
  <c r="G10" i="9"/>
  <c r="H10" i="9"/>
  <c r="F11" i="9"/>
  <c r="G11" i="9"/>
  <c r="H11" i="9"/>
  <c r="F12" i="9"/>
  <c r="G12" i="9"/>
  <c r="H12" i="9"/>
  <c r="F13" i="9"/>
  <c r="G13" i="9"/>
  <c r="H13" i="9"/>
  <c r="F14" i="9"/>
  <c r="G14" i="9"/>
  <c r="H14" i="9"/>
  <c r="F15" i="9"/>
  <c r="G15" i="9"/>
  <c r="H15" i="9"/>
  <c r="F16" i="9"/>
  <c r="G16" i="9"/>
  <c r="H16" i="9"/>
  <c r="F17" i="9"/>
  <c r="G17" i="9"/>
  <c r="H17" i="9"/>
  <c r="F18" i="9"/>
  <c r="G18" i="9"/>
  <c r="H18" i="9"/>
  <c r="F19" i="9"/>
  <c r="G19" i="9"/>
  <c r="H19" i="9"/>
  <c r="F20" i="9"/>
  <c r="G20" i="9"/>
  <c r="H20" i="9"/>
  <c r="F21" i="9"/>
  <c r="G21" i="9"/>
  <c r="H21" i="9"/>
  <c r="F22" i="9"/>
  <c r="G22" i="9"/>
  <c r="H22" i="9"/>
  <c r="F23" i="9"/>
  <c r="G23" i="9"/>
  <c r="H23" i="9"/>
  <c r="F24" i="9"/>
  <c r="G24" i="9"/>
  <c r="H24" i="9"/>
  <c r="F25" i="9"/>
  <c r="G25" i="9"/>
  <c r="H25" i="9"/>
  <c r="F26" i="9"/>
  <c r="G26" i="9"/>
  <c r="H26" i="9"/>
  <c r="F27" i="9"/>
  <c r="G27" i="9"/>
  <c r="H27" i="9"/>
  <c r="F28" i="9"/>
  <c r="G28" i="9"/>
  <c r="H28" i="9"/>
  <c r="F29" i="9"/>
  <c r="G29" i="9"/>
  <c r="H29" i="9"/>
  <c r="F30" i="9"/>
  <c r="G30" i="9"/>
  <c r="H30" i="9"/>
  <c r="F31" i="9"/>
  <c r="G31" i="9"/>
  <c r="H31" i="9"/>
  <c r="F32" i="9"/>
  <c r="G32" i="9"/>
  <c r="H32" i="9"/>
  <c r="F33" i="9"/>
  <c r="G33" i="9"/>
  <c r="H33" i="9"/>
  <c r="F34" i="9"/>
  <c r="G34" i="9"/>
  <c r="H34" i="9"/>
  <c r="F35" i="9"/>
  <c r="G35" i="9"/>
  <c r="H35" i="9"/>
  <c r="F36" i="9"/>
  <c r="G36" i="9"/>
  <c r="H36" i="9"/>
  <c r="F37" i="9"/>
  <c r="G37" i="9"/>
  <c r="H37" i="9"/>
  <c r="F38" i="9"/>
  <c r="G38" i="9"/>
  <c r="H38" i="9"/>
  <c r="F39" i="9"/>
  <c r="G39" i="9"/>
  <c r="H39" i="9"/>
  <c r="F40" i="9"/>
  <c r="G40" i="9"/>
  <c r="H40" i="9"/>
  <c r="F41" i="9"/>
  <c r="G41" i="9"/>
  <c r="H41" i="9"/>
  <c r="F42" i="9"/>
  <c r="G42" i="9"/>
  <c r="H42" i="9"/>
  <c r="F43" i="9"/>
  <c r="G43" i="9"/>
  <c r="H43" i="9"/>
  <c r="F44" i="9"/>
  <c r="G44" i="9"/>
  <c r="H44" i="9"/>
  <c r="F45" i="9"/>
  <c r="G45" i="9"/>
  <c r="H45" i="9"/>
  <c r="F46" i="9"/>
  <c r="G46" i="9"/>
  <c r="H46" i="9"/>
  <c r="F47" i="9"/>
  <c r="G47" i="9"/>
  <c r="H47" i="9"/>
  <c r="F48" i="9"/>
  <c r="G48" i="9"/>
  <c r="H48" i="9"/>
  <c r="F49" i="9"/>
  <c r="G49" i="9"/>
  <c r="H49" i="9"/>
  <c r="F50" i="9"/>
  <c r="G50" i="9"/>
  <c r="H50" i="9"/>
  <c r="F51" i="9"/>
  <c r="G51" i="9"/>
  <c r="H51" i="9"/>
  <c r="F52" i="9"/>
  <c r="G52" i="9"/>
  <c r="H52" i="9"/>
  <c r="F53" i="9"/>
  <c r="G53" i="9"/>
  <c r="H53" i="9"/>
  <c r="F54" i="9"/>
  <c r="G54" i="9"/>
  <c r="H54" i="9"/>
  <c r="F55" i="9"/>
  <c r="G55" i="9"/>
  <c r="H55" i="9"/>
  <c r="F56" i="9"/>
  <c r="G56" i="9"/>
  <c r="H56" i="9"/>
  <c r="F57" i="9"/>
  <c r="G57" i="9"/>
  <c r="H57" i="9"/>
  <c r="F58" i="9"/>
  <c r="G58" i="9"/>
  <c r="H58" i="9"/>
  <c r="F59" i="9"/>
  <c r="G59" i="9"/>
  <c r="H59" i="9"/>
  <c r="F60" i="9"/>
  <c r="G60" i="9"/>
  <c r="H60" i="9"/>
  <c r="F61" i="9"/>
  <c r="G61" i="9"/>
  <c r="H61" i="9"/>
  <c r="F62" i="9"/>
  <c r="G62" i="9"/>
  <c r="H62" i="9"/>
  <c r="F63" i="9"/>
  <c r="G63" i="9"/>
  <c r="H63" i="9"/>
  <c r="F64" i="9"/>
  <c r="G64" i="9"/>
  <c r="H64" i="9"/>
  <c r="F65" i="9"/>
  <c r="G65" i="9"/>
  <c r="H65" i="9"/>
  <c r="F66" i="9"/>
  <c r="G66" i="9"/>
  <c r="H66" i="9"/>
  <c r="F67" i="9"/>
  <c r="G67" i="9"/>
  <c r="H67" i="9"/>
  <c r="F68" i="9"/>
  <c r="G68" i="9"/>
  <c r="H68" i="9"/>
  <c r="F69" i="9"/>
  <c r="G69" i="9"/>
  <c r="H69" i="9"/>
  <c r="F70" i="9"/>
  <c r="G70" i="9"/>
  <c r="H70" i="9"/>
  <c r="F71" i="9"/>
  <c r="G71" i="9"/>
  <c r="H71" i="9"/>
  <c r="F72" i="9"/>
  <c r="G72" i="9"/>
  <c r="H72" i="9"/>
  <c r="F73" i="9"/>
  <c r="G73" i="9"/>
  <c r="H73" i="9"/>
  <c r="H2" i="9"/>
  <c r="G2" i="9"/>
  <c r="F2" i="9"/>
  <c r="B7" i="6"/>
  <c r="C7" i="6"/>
  <c r="D7" i="6"/>
  <c r="B8" i="6"/>
  <c r="C8" i="6"/>
  <c r="D8" i="6"/>
  <c r="B9" i="6"/>
  <c r="C9" i="6"/>
  <c r="D9" i="6"/>
  <c r="B10" i="6"/>
  <c r="C10" i="6"/>
  <c r="D10" i="6"/>
  <c r="B11" i="6"/>
  <c r="C11" i="6"/>
  <c r="D11" i="6"/>
  <c r="B12" i="6"/>
  <c r="C12" i="6"/>
  <c r="D12" i="6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C6" i="6"/>
  <c r="D6" i="6"/>
  <c r="B6" i="6"/>
  <c r="N51" i="7"/>
  <c r="M51" i="7"/>
  <c r="L51" i="7"/>
  <c r="K51" i="7"/>
  <c r="J51" i="7"/>
  <c r="I51" i="7"/>
  <c r="H51" i="7"/>
  <c r="G51" i="7"/>
  <c r="F51" i="7"/>
  <c r="E51" i="7"/>
  <c r="D51" i="7"/>
  <c r="C51" i="7"/>
  <c r="N43" i="7"/>
  <c r="M43" i="7"/>
  <c r="L43" i="7"/>
  <c r="K43" i="7"/>
  <c r="J43" i="7"/>
  <c r="I43" i="7"/>
  <c r="H43" i="7"/>
  <c r="G43" i="7"/>
  <c r="F43" i="7"/>
  <c r="E43" i="7"/>
  <c r="D43" i="7"/>
  <c r="C43" i="7"/>
  <c r="N35" i="7"/>
  <c r="M35" i="7"/>
  <c r="L35" i="7"/>
  <c r="K35" i="7"/>
  <c r="J35" i="7"/>
  <c r="I35" i="7"/>
  <c r="H35" i="7"/>
  <c r="G35" i="7"/>
  <c r="F35" i="7"/>
  <c r="E35" i="7"/>
  <c r="D35" i="7"/>
  <c r="C35" i="7"/>
  <c r="N27" i="7"/>
  <c r="M27" i="7"/>
  <c r="L27" i="7"/>
  <c r="K27" i="7"/>
  <c r="J27" i="7"/>
  <c r="I27" i="7"/>
  <c r="H27" i="7"/>
  <c r="G27" i="7"/>
  <c r="F27" i="7"/>
  <c r="E27" i="7"/>
  <c r="D27" i="7"/>
  <c r="C27" i="7"/>
  <c r="N19" i="7"/>
  <c r="M19" i="7"/>
  <c r="L19" i="7"/>
  <c r="K19" i="7"/>
  <c r="J19" i="7"/>
  <c r="I19" i="7"/>
  <c r="H19" i="7"/>
  <c r="G19" i="7"/>
  <c r="F19" i="7"/>
  <c r="E19" i="7"/>
  <c r="D19" i="7"/>
  <c r="C19" i="7"/>
  <c r="N11" i="7"/>
  <c r="M11" i="7"/>
  <c r="L11" i="7"/>
  <c r="K11" i="7"/>
  <c r="J11" i="7"/>
  <c r="I11" i="7"/>
  <c r="H11" i="7"/>
  <c r="G11" i="7"/>
  <c r="F11" i="7"/>
  <c r="E11" i="7"/>
  <c r="D11" i="7"/>
  <c r="C11" i="7"/>
  <c r="B6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<sst xmlns="http://schemas.openxmlformats.org/spreadsheetml/2006/main" count="521" uniqueCount="109">
  <si>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</si>
  <si>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</si>
  <si>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</si>
  <si>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</si>
  <si>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</si>
  <si>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</si>
  <si>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</si>
  <si>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</si>
  <si>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</si>
  <si>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</si>
  <si>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</si>
  <si>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</si>
  <si>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</si>
  <si>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</si>
  <si>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</si>
  <si>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</si>
  <si>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</si>
  <si>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</si>
  <si>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</si>
  <si>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</si>
  <si>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</si>
  <si>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</si>
  <si>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</si>
  <si>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</si>
  <si>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</si>
  <si>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</si>
  <si>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</si>
  <si>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</si>
  <si>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</si>
  <si>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</si>
  <si>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</si>
  <si>
    <t>Temperature</t>
  </si>
  <si>
    <t>Noise</t>
  </si>
  <si>
    <t>Count</t>
  </si>
  <si>
    <t>Normal</t>
  </si>
  <si>
    <t>Club Deluxe, One Club, One Suite</t>
  </si>
  <si>
    <t>Executive, Superior</t>
  </si>
  <si>
    <t>Months &amp; Year</t>
  </si>
  <si>
    <t>Revenue Types</t>
  </si>
  <si>
    <t>Room</t>
  </si>
  <si>
    <t>Food</t>
  </si>
  <si>
    <t>Bar</t>
  </si>
  <si>
    <t>Room Types</t>
  </si>
  <si>
    <t>Concerns (11)</t>
  </si>
  <si>
    <t>2019 revenue plan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</si>
  <si>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</si>
  <si>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</si>
  <si>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</si>
  <si>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</si>
  <si>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</si>
  <si>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</si>
  <si>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</si>
  <si>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</si>
  <si>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</si>
  <si>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</si>
  <si>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</si>
  <si>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</si>
  <si>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</si>
  <si>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</si>
  <si>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Club Deluxe King Room</t>
  </si>
  <si>
    <t>Number of rooms</t>
  </si>
  <si>
    <t>Sum of Revenue Total</t>
  </si>
  <si>
    <t>Sum of Revenue Rooms</t>
  </si>
  <si>
    <t>Sum of Revenue Food</t>
  </si>
  <si>
    <t>Sum of Revenue Bar</t>
  </si>
  <si>
    <t>Average of Occupancy</t>
  </si>
  <si>
    <t>Average of ADR</t>
  </si>
  <si>
    <t>Executive Suite</t>
  </si>
  <si>
    <t>King Suite</t>
  </si>
  <si>
    <t>One-Bedroom Club Room</t>
  </si>
  <si>
    <t>One-Bedroom Suite</t>
  </si>
  <si>
    <t>Superior King Room</t>
  </si>
  <si>
    <t>Total Number of rooms</t>
  </si>
  <si>
    <t>Total Sum of Revenue Total</t>
  </si>
  <si>
    <t>Total Sum of Revenue Rooms</t>
  </si>
  <si>
    <t>Total Sum of Revenue Food</t>
  </si>
  <si>
    <t>Total Sum of Revenue Bar</t>
  </si>
  <si>
    <t>Total Average of Occupancy</t>
  </si>
  <si>
    <t>Total Average of ADR</t>
  </si>
  <si>
    <t>Smells</t>
  </si>
  <si>
    <t>Guests</t>
  </si>
  <si>
    <t>Service</t>
  </si>
  <si>
    <t>blah blah blah</t>
  </si>
  <si>
    <t>Concern Type</t>
  </si>
  <si>
    <t>Room type</t>
  </si>
  <si>
    <t>Doesn’t match the website/brochure</t>
  </si>
  <si>
    <t>Faulty electronics</t>
  </si>
  <si>
    <t>Low-quality food</t>
  </si>
  <si>
    <t>Noisy neighbors</t>
  </si>
  <si>
    <t>Slow Wi-Fi</t>
  </si>
  <si>
    <t>No hot water</t>
  </si>
  <si>
    <t>Dirty rooms</t>
  </si>
  <si>
    <t>Bad smells</t>
  </si>
  <si>
    <t>Issues with staff</t>
  </si>
  <si>
    <t>Temperature of their room</t>
  </si>
  <si>
    <t>Rodents, roaches, &amp; other unwanted guests</t>
  </si>
  <si>
    <t>Concerns</t>
  </si>
  <si>
    <t>Concern description 1</t>
  </si>
  <si>
    <t>Concern description 2</t>
  </si>
  <si>
    <t>Concern description 3</t>
  </si>
  <si>
    <t>Count_x 1</t>
  </si>
  <si>
    <t>Count_x 2</t>
  </si>
  <si>
    <t>Count_x 3</t>
  </si>
  <si>
    <t>Label 1</t>
  </si>
  <si>
    <t>Label 2</t>
  </si>
  <si>
    <t>Label 3</t>
  </si>
  <si>
    <t>Problem #1 - Food &amp; Bar - after March</t>
  </si>
  <si>
    <t>Problem # 2 - Food - January thru June</t>
  </si>
  <si>
    <t>Problem #3 - Faulty electronics in all rooms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</si>
</sst>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5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name val="Calibri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  <xf numFmtId="0" fontId="7" fillId="0" borderId="0" xfId="0" applyFont="1"/>
    <xf numFmtId="0" fontId="8" fillId="0" borderId="0" xfId="0" applyFont="1"/>
    <xf numFmtId="0" fontId="9" fillId="5" borderId="0" xfId="0" applyFont="1" applyFill="1"/>
    <xf numFmtId="0" fontId="8" fillId="6" borderId="0" xfId="0" applyFont="1" applyFill="1" applyAlignment="1">
      <alignment horizontal="left"/>
    </xf>
    <xf numFmtId="0" fontId="8" fillId="6" borderId="0" xfId="0" applyFont="1" applyFill="1"/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3" fontId="8" fillId="0" borderId="0" xfId="0" applyNumberFormat="1" applyFont="1"/>
    <xf numFmtId="164" fontId="10" fillId="0" borderId="0" xfId="0" applyNumberFormat="1" applyFont="1" applyAlignment="1">
      <alignment horizontal="left" indent="1"/>
    </xf>
    <xf numFmtId="164" fontId="10" fillId="0" borderId="0" xfId="0" applyNumberFormat="1" applyFont="1"/>
    <xf numFmtId="164" fontId="11" fillId="0" borderId="0" xfId="0" applyNumberFormat="1" applyFont="1"/>
    <xf numFmtId="0" fontId="10" fillId="0" borderId="0" xfId="0" applyFont="1"/>
    <xf numFmtId="0" fontId="8" fillId="0" borderId="5" xfId="0" applyFont="1" applyBorder="1" applyAlignment="1">
      <alignment horizontal="left"/>
    </xf>
    <xf numFmtId="0" fontId="8" fillId="0" borderId="5" xfId="0" applyFont="1" applyBorder="1"/>
    <xf numFmtId="0" fontId="8" fillId="0" borderId="0" xfId="0" applyFont="1" applyAlignment="1">
      <alignment horizontal="left"/>
    </xf>
    <xf numFmtId="164" fontId="8" fillId="0" borderId="0" xfId="0" applyNumberFormat="1" applyFont="1"/>
    <xf numFmtId="0" fontId="8" fillId="0" borderId="6" xfId="0" applyFont="1" applyBorder="1" applyAlignment="1">
      <alignment horizontal="left"/>
    </xf>
    <xf numFmtId="164" fontId="8" fillId="0" borderId="6" xfId="0" applyNumberFormat="1" applyFont="1" applyBorder="1"/>
    <xf numFmtId="0" fontId="12" fillId="0" borderId="1" xfId="0" applyFont="1" applyBorder="1" applyAlignment="1">
      <alignment horizontal="center" vertical="top"/>
    </xf>
    <xf numFmtId="1" fontId="2" fillId="0" borderId="1" xfId="0" applyNumberFormat="1" applyFont="1" applyBorder="1"/>
    <xf numFmtId="9" fontId="13" fillId="3" borderId="1" xfId="0" applyNumberFormat="1" applyFont="1" applyFill="1" applyBorder="1"/>
    <xf numFmtId="0" fontId="13" fillId="3" borderId="1" xfId="0" applyFont="1" applyFill="1" applyBorder="1"/>
    <xf numFmtId="0" fontId="14" fillId="0" borderId="0" xfId="0" applyFont="1" applyBorder="1" applyAlignment="1">
      <alignment horizontal="center" vertical="top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'Revenue Dash'!$B$5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Dash'!$B$6:$B$17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'Revenue Dash'!$C$5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Dash'!$C$6:$C$17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'Revenue Dash'!$D$5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Dash'!$D$6:$D$17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'Revenue Dash'!$J$6:$J$17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184-9A68-CA9E7DD2AE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'Revenue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Concerns!$D$4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Concerns!$C$5:$C$10</c:f>
              <c:strCache>
                <c:ptCount val="6"/>
                <c:pt idx="0">
                  <c:v>Smells</c:v>
                </c:pt>
                <c:pt idx="1">
                  <c:v>Noise</c:v>
                </c:pt>
                <c:pt idx="2">
                  <c:v>Temperature</c:v>
                </c:pt>
                <c:pt idx="3">
                  <c:v>Guests</c:v>
                </c:pt>
                <c:pt idx="4">
                  <c:v>Service</c:v>
                </c:pt>
                <c:pt idx="5">
                  <c:v>blah blah blah</c:v>
                </c:pt>
              </c:strCache>
            </c:strRef>
          </c:cat>
          <c:val>
            <c:numRef>
              <c:f>Concerns!$D$5:$D$10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9-4D99-8764-46022B496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729336"/>
        <c:axId val="597734136"/>
      </c:barChart>
      <c:catAx>
        <c:axId val="59772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34136"/>
        <c:crosses val="autoZero"/>
        <c:auto val="1"/>
        <c:lblAlgn val="ctr"/>
        <c:lblOffset val="100"/>
        <c:noMultiLvlLbl val="0"/>
      </c:catAx>
      <c:valAx>
        <c:axId val="597734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29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3 Concerns</a:t>
            </a:r>
            <a:r>
              <a:rPr lang="en-US" baseline="0"/>
              <a:t> by Room Type and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'Concerns Dash'!$B$5</c:f>
              <c:strCache>
                <c:ptCount val="1"/>
                <c:pt idx="0">
                  <c:v>#1 Temperature of their 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'Concerns Dash'!$B$6:$B$17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56</c:v>
                </c:pt>
                <c:pt idx="7">
                  <c:v>71</c:v>
                </c:pt>
                <c:pt idx="8">
                  <c:v>97</c:v>
                </c:pt>
                <c:pt idx="9">
                  <c:v>50</c:v>
                </c:pt>
                <c:pt idx="10">
                  <c:v>52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64-4427-AEB9-FC14E48A8528}"/>
            </c:ext>
          </c:extLst>
        </c:ser>
        <c:ser>
          <c:idx val="1"/>
          <c:order val="1"/>
          <c:tx>
            <c:strRef>
              <c:f>'Concerns Dash'!$C$5</c:f>
              <c:strCache>
                <c:ptCount val="1"/>
                <c:pt idx="0">
                  <c:v>#2 Noisy neighbors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'Concerns Dash'!$C$6:$C$17</c:f>
              <c:numCache>
                <c:formatCode>0</c:formatCode>
                <c:ptCount val="12"/>
                <c:pt idx="0">
                  <c:v>17</c:v>
                </c:pt>
                <c:pt idx="1">
                  <c:v>13</c:v>
                </c:pt>
                <c:pt idx="2">
                  <c:v>14</c:v>
                </c:pt>
                <c:pt idx="3">
                  <c:v>8</c:v>
                </c:pt>
                <c:pt idx="4">
                  <c:v>3</c:v>
                </c:pt>
                <c:pt idx="5">
                  <c:v>3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64-4427-AEB9-FC14E48A8528}"/>
            </c:ext>
          </c:extLst>
        </c:ser>
        <c:ser>
          <c:idx val="2"/>
          <c:order val="2"/>
          <c:tx>
            <c:strRef>
              <c:f>'Concerns Dash'!$D$5</c:f>
              <c:strCache>
                <c:ptCount val="1"/>
                <c:pt idx="0">
                  <c:v>#3 Bad smells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'Concerns Dash'!$D$6:$D$17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2</c:v>
                </c:pt>
                <c:pt idx="6">
                  <c:v>5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64-4427-AEB9-FC14E48A8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3003536"/>
        <c:axId val="523003856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'Concerns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'Concerns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164-4427-AEB9-FC14E48A8528}"/>
                  </c:ext>
                </c:extLst>
              </c15:ser>
            </c15:filteredLineSeries>
          </c:ext>
        </c:extLst>
      </c:lineChart>
      <c:catAx>
        <c:axId val="523003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03856"/>
        <c:crosses val="autoZero"/>
        <c:auto val="1"/>
        <c:lblAlgn val="ctr"/>
        <c:lblOffset val="100"/>
        <c:noMultiLvlLbl val="0"/>
      </c:catAx>
      <c:valAx>
        <c:axId val="52300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0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General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General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General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General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General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General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General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General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General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General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General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General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General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General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General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General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General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General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127001</xdr:colOff>
      <xdr:row>1</xdr:row>
      <xdr:rowOff>126042</xdr:rowOff>
    </xdr:from>
    <xdr:to>
      <xdr:col>13</xdr:col>
      <xdr:colOff>330333</xdr:colOff>
      <xdr:row>20</xdr:row>
      <xdr:rowOff>88900</xdr:rowOff>
    </xdr:to>
    <xdr:pic>
      <xdr:nvPicPr>
        <xdr:cNvPr id="2" name="Picture 1" descr="Luxury Hotels Almaty: InterContinental Almaty">
          <a:extLst>
            <a:ext uri="{FF2B5EF4-FFF2-40B4-BE49-F238E27FC236}">
              <a16:creationId xmlns:a16="http://schemas.microsoft.com/office/drawing/2014/main" id="{DC31EB7B-011A-2F29-65A3-D8C240868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6201" y="310192"/>
          <a:ext cx="6908932" cy="3461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1</xdr:row>
      <xdr:rowOff>44450</xdr:rowOff>
    </xdr:from>
    <xdr:to>
      <xdr:col>14</xdr:col>
      <xdr:colOff>323850</xdr:colOff>
      <xdr:row>19</xdr:row>
      <xdr:rowOff>44450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69850</xdr:rowOff>
    </xdr:from>
    <xdr:to>
      <xdr:col>14</xdr:col>
      <xdr:colOff>495299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6AEA7-1D8A-2D0C-0691-1EBB63D27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219074</xdr:colOff>
      <xdr:row>1</xdr:row>
      <xdr:rowOff>82550</xdr:rowOff>
    </xdr:from>
    <xdr:to>
      <xdr:col>13</xdr:col>
      <xdr:colOff>260349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BA64F7-F7D1-102E-923A-6F7F25D6B5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4362-FBA8-48F8-85F0-F3780936CF85}">
  <dimension ref="C6:I12"/>
  <sheetViews>
    <sheetView workbookViewId="0">
      <selection activeCell="B20" sqref="B20"/>
    </sheetView>
  </sheetViews>
  <sheetFormatPr defaultRowHeight="14.5"/>
  <sheetData>
    <row r="6" spans="3:9">
      <c r="C6" t="s">
        <v>37</v>
      </c>
      <c r="E6" t="s">
        <v>42</v>
      </c>
      <c r="G6" t="s">
        <v>38</v>
      </c>
      <c r="I6" t="s">
        <v>43</v>
      </c>
    </row>
    <row r="7" spans="3:9">
      <c r="E7" t="s">
        <v>24</v>
      </c>
      <c r="G7" t="s">
        <v>39</v>
      </c>
    </row>
    <row r="8" spans="3:9">
      <c r="E8" t="s">
        <v>28</v>
      </c>
      <c r="G8" t="s">
        <v>40</v>
      </c>
    </row>
    <row r="9" spans="3:9">
      <c r="E9" t="s">
        <v>22</v>
      </c>
      <c r="G9" t="s">
        <v>41</v>
      </c>
    </row>
    <row r="10" spans="3:9">
      <c r="E10" t="s">
        <v>27</v>
      </c>
    </row>
    <row r="11" spans="3:9">
      <c r="E11" t="s">
        <v>29</v>
      </c>
    </row>
    <row r="12" spans="3:9">
      <c r="E12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1CC1-D986-4D23-869E-6D72B1F14DF2}">
  <dimension ref="B1:O58"/>
  <sheetViews>
    <sheetView workbookViewId="0">
      <selection activeCell="B20" sqref="B20"/>
    </sheetView>
  </sheetViews>
  <sheetFormatPr defaultRowHeight="14.5"/>
  <cols>
    <col min="1" max="1" width="1.7265625" customWidth="1"/>
    <col min="2" max="2" width="26.1796875" bestFit="1" customWidth="1"/>
    <col min="3" max="14" width="8.90625" customWidth="1"/>
    <col min="15" max="15" width="8.90625" style="10" customWidth="1"/>
  </cols>
  <sheetData>
    <row r="1" spans="2:15" s="10" customFormat="1" ht="19.899999999999999" customHeight="1">
      <c r="B1" s="9" t="s">
        <v>44</v>
      </c>
    </row>
    <row r="3" spans="2:15">
      <c r="B3" s="11" t="s">
        <v>45</v>
      </c>
      <c r="C3" s="11" t="s">
        <v>46</v>
      </c>
      <c r="D3" s="11" t="s">
        <v>47</v>
      </c>
      <c r="E3" s="11" t="s">
        <v>48</v>
      </c>
      <c r="F3" s="11" t="s">
        <v>49</v>
      </c>
      <c r="G3" s="11" t="s">
        <v>50</v>
      </c>
      <c r="H3" s="11" t="s">
        <v>51</v>
      </c>
      <c r="I3" s="11" t="s">
        <v>52</v>
      </c>
      <c r="J3" s="11" t="s">
        <v>53</v>
      </c>
      <c r="K3" s="11" t="s">
        <v>54</v>
      </c>
      <c r="L3" s="11" t="s">
        <v>55</v>
      </c>
      <c r="M3" s="11" t="s">
        <v>56</v>
      </c>
      <c r="N3" s="11" t="s">
        <v>57</v>
      </c>
      <c r="O3" s="11" t="s">
        <v>58</v>
      </c>
    </row>
    <row r="4" spans="2:15">
      <c r="B4" s="12" t="s">
        <v>59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2:15">
      <c r="B5" s="14" t="s">
        <v>60</v>
      </c>
      <c r="C5">
        <v>28</v>
      </c>
      <c r="D5">
        <v>28</v>
      </c>
      <c r="E5">
        <v>28</v>
      </c>
      <c r="F5">
        <v>28</v>
      </c>
      <c r="G5">
        <v>28</v>
      </c>
      <c r="H5">
        <v>28</v>
      </c>
      <c r="I5">
        <v>28</v>
      </c>
      <c r="J5">
        <v>28</v>
      </c>
      <c r="K5">
        <v>28</v>
      </c>
      <c r="L5">
        <v>28</v>
      </c>
      <c r="M5">
        <v>28</v>
      </c>
      <c r="N5">
        <v>28</v>
      </c>
    </row>
    <row r="6" spans="2:15">
      <c r="B6" s="15" t="s">
        <v>61</v>
      </c>
      <c r="C6" s="2">
        <v>304164</v>
      </c>
      <c r="D6" s="2">
        <v>357840</v>
      </c>
      <c r="E6" s="2">
        <v>445312</v>
      </c>
      <c r="F6" s="2">
        <v>365792</v>
      </c>
      <c r="G6" s="2">
        <v>397600</v>
      </c>
      <c r="H6" s="2">
        <v>322056</v>
      </c>
      <c r="I6" s="2">
        <v>500976</v>
      </c>
      <c r="J6" s="2">
        <v>500976</v>
      </c>
      <c r="K6" s="2">
        <v>333984</v>
      </c>
      <c r="L6" s="2">
        <v>411516</v>
      </c>
      <c r="M6" s="2">
        <v>357840</v>
      </c>
      <c r="N6" s="2">
        <v>370160</v>
      </c>
      <c r="O6" s="16">
        <v>4668216</v>
      </c>
    </row>
    <row r="7" spans="2:15">
      <c r="B7" s="15" t="s">
        <v>62</v>
      </c>
      <c r="C7" s="2">
        <v>214200</v>
      </c>
      <c r="D7" s="2">
        <v>252000</v>
      </c>
      <c r="E7" s="2">
        <v>313600</v>
      </c>
      <c r="F7" s="2">
        <v>257600</v>
      </c>
      <c r="G7" s="2">
        <v>280000</v>
      </c>
      <c r="H7" s="2">
        <v>226800</v>
      </c>
      <c r="I7" s="2">
        <v>352800</v>
      </c>
      <c r="J7" s="2">
        <v>352800</v>
      </c>
      <c r="K7" s="2">
        <v>235200</v>
      </c>
      <c r="L7" s="2">
        <v>289800</v>
      </c>
      <c r="M7" s="2">
        <v>252000</v>
      </c>
      <c r="N7" s="2">
        <v>260680</v>
      </c>
      <c r="O7" s="16">
        <v>3287480</v>
      </c>
    </row>
    <row r="8" spans="2:15">
      <c r="B8" s="15" t="s">
        <v>63</v>
      </c>
      <c r="C8" s="2">
        <v>64260</v>
      </c>
      <c r="D8" s="2">
        <v>75600</v>
      </c>
      <c r="E8" s="2">
        <v>94080</v>
      </c>
      <c r="F8" s="2">
        <v>77280</v>
      </c>
      <c r="G8" s="2">
        <v>84000</v>
      </c>
      <c r="H8" s="2">
        <v>68040</v>
      </c>
      <c r="I8" s="2">
        <v>105840</v>
      </c>
      <c r="J8" s="2">
        <v>105840</v>
      </c>
      <c r="K8" s="2">
        <v>70560</v>
      </c>
      <c r="L8" s="2">
        <v>86940</v>
      </c>
      <c r="M8" s="2">
        <v>75600</v>
      </c>
      <c r="N8" s="2">
        <v>78204</v>
      </c>
      <c r="O8" s="16">
        <v>986244</v>
      </c>
    </row>
    <row r="9" spans="2:15">
      <c r="B9" s="15" t="s">
        <v>64</v>
      </c>
      <c r="C9" s="2">
        <v>25704</v>
      </c>
      <c r="D9" s="2">
        <v>30240</v>
      </c>
      <c r="E9" s="2">
        <v>37632</v>
      </c>
      <c r="F9" s="2">
        <v>30912</v>
      </c>
      <c r="G9" s="2">
        <v>33600</v>
      </c>
      <c r="H9" s="2">
        <v>27216</v>
      </c>
      <c r="I9" s="2">
        <v>42336</v>
      </c>
      <c r="J9" s="2">
        <v>42336</v>
      </c>
      <c r="K9" s="2">
        <v>28224</v>
      </c>
      <c r="L9" s="2">
        <v>34776</v>
      </c>
      <c r="M9" s="2">
        <v>30240</v>
      </c>
      <c r="N9" s="2">
        <v>31276</v>
      </c>
      <c r="O9" s="16">
        <v>394492</v>
      </c>
    </row>
    <row r="10" spans="2:15" s="20" customFormat="1">
      <c r="B10" s="17" t="s">
        <v>65</v>
      </c>
      <c r="C10" s="18">
        <v>31</v>
      </c>
      <c r="D10" s="18">
        <v>28</v>
      </c>
      <c r="E10" s="18">
        <v>31</v>
      </c>
      <c r="F10" s="18">
        <v>30</v>
      </c>
      <c r="G10" s="18">
        <v>31</v>
      </c>
      <c r="H10" s="18">
        <v>30</v>
      </c>
      <c r="I10" s="18">
        <v>31</v>
      </c>
      <c r="J10" s="18">
        <v>31</v>
      </c>
      <c r="K10" s="18">
        <v>30</v>
      </c>
      <c r="L10" s="18">
        <v>31</v>
      </c>
      <c r="M10" s="18">
        <v>30</v>
      </c>
      <c r="N10" s="18">
        <v>31</v>
      </c>
      <c r="O10" s="19"/>
    </row>
    <row r="11" spans="2:15" s="20" customFormat="1">
      <c r="B11" s="17" t="s">
        <v>66</v>
      </c>
      <c r="C11" s="18">
        <f>C6/C10/C5</f>
        <v>350.41935483870969</v>
      </c>
      <c r="D11" s="18">
        <f t="shared" ref="D11:N11" si="0">D6/D10/D5</f>
        <v>456.42857142857144</v>
      </c>
      <c r="E11" s="18">
        <f t="shared" si="0"/>
        <v>513.0322580645161</v>
      </c>
      <c r="F11" s="18">
        <f t="shared" si="0"/>
        <v>435.4666666666667</v>
      </c>
      <c r="G11" s="18">
        <f t="shared" si="0"/>
        <v>458.06451612903226</v>
      </c>
      <c r="H11" s="18">
        <f t="shared" si="0"/>
        <v>383.40000000000003</v>
      </c>
      <c r="I11" s="18">
        <f t="shared" si="0"/>
        <v>577.16129032258061</v>
      </c>
      <c r="J11" s="18">
        <f t="shared" si="0"/>
        <v>577.16129032258061</v>
      </c>
      <c r="K11" s="18">
        <f t="shared" si="0"/>
        <v>397.59999999999997</v>
      </c>
      <c r="L11" s="18">
        <f t="shared" si="0"/>
        <v>474.09677419354836</v>
      </c>
      <c r="M11" s="18">
        <f t="shared" si="0"/>
        <v>426</v>
      </c>
      <c r="N11" s="18">
        <f t="shared" si="0"/>
        <v>426.45161290322579</v>
      </c>
      <c r="O11" s="19"/>
    </row>
    <row r="12" spans="2:15">
      <c r="B12" s="12" t="s">
        <v>67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2:15">
      <c r="B13" s="14" t="s">
        <v>60</v>
      </c>
      <c r="C13">
        <v>36</v>
      </c>
      <c r="D13">
        <v>36</v>
      </c>
      <c r="E13">
        <v>36</v>
      </c>
      <c r="F13">
        <v>36</v>
      </c>
      <c r="G13">
        <v>36</v>
      </c>
      <c r="H13">
        <v>36</v>
      </c>
      <c r="I13">
        <v>36</v>
      </c>
      <c r="J13">
        <v>36</v>
      </c>
      <c r="K13">
        <v>36</v>
      </c>
      <c r="L13">
        <v>36</v>
      </c>
      <c r="M13">
        <v>36</v>
      </c>
      <c r="N13">
        <v>36</v>
      </c>
      <c r="O13" s="10">
        <v>36</v>
      </c>
    </row>
    <row r="14" spans="2:15">
      <c r="B14" s="15" t="s">
        <v>61</v>
      </c>
      <c r="C14" s="2">
        <v>383400</v>
      </c>
      <c r="D14" s="2">
        <v>322056</v>
      </c>
      <c r="E14" s="2">
        <v>293940</v>
      </c>
      <c r="F14" s="2">
        <v>345060</v>
      </c>
      <c r="G14" s="2">
        <v>357840</v>
      </c>
      <c r="H14" s="2">
        <v>184032</v>
      </c>
      <c r="I14" s="2">
        <v>383400</v>
      </c>
      <c r="J14" s="2">
        <v>383400</v>
      </c>
      <c r="K14" s="2">
        <v>230040</v>
      </c>
      <c r="L14" s="2">
        <v>429408</v>
      </c>
      <c r="M14" s="2">
        <v>306720</v>
      </c>
      <c r="N14" s="2">
        <v>371124</v>
      </c>
      <c r="O14" s="16">
        <v>3990420</v>
      </c>
    </row>
    <row r="15" spans="2:15">
      <c r="B15" s="15" t="s">
        <v>62</v>
      </c>
      <c r="C15" s="2">
        <v>270000</v>
      </c>
      <c r="D15" s="2">
        <v>226800</v>
      </c>
      <c r="E15" s="2">
        <v>207000</v>
      </c>
      <c r="F15" s="2">
        <v>243000</v>
      </c>
      <c r="G15" s="2">
        <v>252000</v>
      </c>
      <c r="H15" s="2">
        <v>129600</v>
      </c>
      <c r="I15" s="2">
        <v>270000</v>
      </c>
      <c r="J15" s="2">
        <v>270000</v>
      </c>
      <c r="K15" s="2">
        <v>162000</v>
      </c>
      <c r="L15" s="2">
        <v>302400</v>
      </c>
      <c r="M15" s="2">
        <v>216000</v>
      </c>
      <c r="N15" s="2">
        <v>261360</v>
      </c>
      <c r="O15" s="16">
        <v>2810160</v>
      </c>
    </row>
    <row r="16" spans="2:15">
      <c r="B16" s="15" t="s">
        <v>63</v>
      </c>
      <c r="C16" s="2">
        <v>81000</v>
      </c>
      <c r="D16" s="2">
        <v>68040</v>
      </c>
      <c r="E16" s="2">
        <v>62100</v>
      </c>
      <c r="F16" s="2">
        <v>72900</v>
      </c>
      <c r="G16" s="2">
        <v>75600</v>
      </c>
      <c r="H16" s="2">
        <v>38880</v>
      </c>
      <c r="I16" s="2">
        <v>81000</v>
      </c>
      <c r="J16" s="2">
        <v>81000</v>
      </c>
      <c r="K16" s="2">
        <v>48600</v>
      </c>
      <c r="L16" s="2">
        <v>90720</v>
      </c>
      <c r="M16" s="2">
        <v>64800</v>
      </c>
      <c r="N16" s="2">
        <v>78408</v>
      </c>
      <c r="O16" s="16">
        <v>843048</v>
      </c>
    </row>
    <row r="17" spans="2:15">
      <c r="B17" s="15" t="s">
        <v>64</v>
      </c>
      <c r="C17" s="2">
        <v>32400</v>
      </c>
      <c r="D17" s="2">
        <v>27216</v>
      </c>
      <c r="E17" s="2">
        <v>24840</v>
      </c>
      <c r="F17" s="2">
        <v>29160</v>
      </c>
      <c r="G17" s="2">
        <v>30240</v>
      </c>
      <c r="H17" s="2">
        <v>15552</v>
      </c>
      <c r="I17" s="2">
        <v>32400</v>
      </c>
      <c r="J17" s="2">
        <v>32400</v>
      </c>
      <c r="K17" s="2">
        <v>19440</v>
      </c>
      <c r="L17" s="2">
        <v>36288</v>
      </c>
      <c r="M17" s="2">
        <v>25920</v>
      </c>
      <c r="N17" s="2">
        <v>31356</v>
      </c>
      <c r="O17" s="16">
        <v>337212</v>
      </c>
    </row>
    <row r="18" spans="2:15" s="20" customFormat="1">
      <c r="B18" s="17" t="s">
        <v>65</v>
      </c>
      <c r="C18" s="18">
        <v>31</v>
      </c>
      <c r="D18" s="18">
        <v>28</v>
      </c>
      <c r="E18" s="18">
        <v>31</v>
      </c>
      <c r="F18" s="18">
        <v>30</v>
      </c>
      <c r="G18" s="18">
        <v>31</v>
      </c>
      <c r="H18" s="18">
        <v>30</v>
      </c>
      <c r="I18" s="18">
        <v>31</v>
      </c>
      <c r="J18" s="18">
        <v>31</v>
      </c>
      <c r="K18" s="18">
        <v>30</v>
      </c>
      <c r="L18" s="18">
        <v>31</v>
      </c>
      <c r="M18" s="18">
        <v>30</v>
      </c>
      <c r="N18" s="18">
        <v>31</v>
      </c>
      <c r="O18" s="19"/>
    </row>
    <row r="19" spans="2:15" s="20" customFormat="1">
      <c r="B19" s="17" t="s">
        <v>66</v>
      </c>
      <c r="C19" s="18">
        <f>C14/C18/C13</f>
        <v>343.54838709677421</v>
      </c>
      <c r="D19" s="18">
        <f t="shared" ref="D19:N19" si="1">D14/D18/D13</f>
        <v>319.5</v>
      </c>
      <c r="E19" s="18">
        <f t="shared" si="1"/>
        <v>263.38709677419354</v>
      </c>
      <c r="F19" s="18">
        <f t="shared" si="1"/>
        <v>319.5</v>
      </c>
      <c r="G19" s="18">
        <f t="shared" si="1"/>
        <v>320.64516129032262</v>
      </c>
      <c r="H19" s="18">
        <f t="shared" si="1"/>
        <v>170.39999999999998</v>
      </c>
      <c r="I19" s="18">
        <f t="shared" si="1"/>
        <v>343.54838709677421</v>
      </c>
      <c r="J19" s="18">
        <f t="shared" si="1"/>
        <v>343.54838709677421</v>
      </c>
      <c r="K19" s="18">
        <f t="shared" si="1"/>
        <v>213</v>
      </c>
      <c r="L19" s="18">
        <f t="shared" si="1"/>
        <v>384.77419354838707</v>
      </c>
      <c r="M19" s="18">
        <f t="shared" si="1"/>
        <v>284</v>
      </c>
      <c r="N19" s="18">
        <f t="shared" si="1"/>
        <v>332.54838709677421</v>
      </c>
      <c r="O19" s="19"/>
    </row>
    <row r="20" spans="2:15">
      <c r="B20" s="12" t="s">
        <v>68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spans="2:15">
      <c r="B21" s="14" t="s">
        <v>60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I21">
        <v>44</v>
      </c>
      <c r="J21">
        <v>44</v>
      </c>
      <c r="K21">
        <v>44</v>
      </c>
      <c r="L21">
        <v>44</v>
      </c>
      <c r="M21">
        <v>44</v>
      </c>
      <c r="N21">
        <v>44</v>
      </c>
      <c r="O21" s="10">
        <v>44</v>
      </c>
    </row>
    <row r="22" spans="2:15">
      <c r="B22" s="15" t="s">
        <v>61</v>
      </c>
      <c r="C22" s="2">
        <v>349888</v>
      </c>
      <c r="D22" s="2">
        <v>274912</v>
      </c>
      <c r="E22" s="2">
        <v>233684</v>
      </c>
      <c r="F22" s="2">
        <v>191180</v>
      </c>
      <c r="G22" s="2">
        <v>169928</v>
      </c>
      <c r="H22" s="2">
        <v>187440</v>
      </c>
      <c r="I22" s="2">
        <v>199936</v>
      </c>
      <c r="J22" s="2">
        <v>199936</v>
      </c>
      <c r="K22" s="2">
        <v>159324</v>
      </c>
      <c r="L22" s="2">
        <v>199936</v>
      </c>
      <c r="M22" s="2">
        <v>224928</v>
      </c>
      <c r="N22" s="2">
        <v>343640</v>
      </c>
      <c r="O22" s="16">
        <v>2734732</v>
      </c>
    </row>
    <row r="23" spans="2:15">
      <c r="B23" s="15" t="s">
        <v>62</v>
      </c>
      <c r="C23" s="2">
        <v>246400</v>
      </c>
      <c r="D23" s="2">
        <v>193600</v>
      </c>
      <c r="E23" s="2">
        <v>164560</v>
      </c>
      <c r="F23" s="2">
        <v>134640</v>
      </c>
      <c r="G23" s="2">
        <v>119680</v>
      </c>
      <c r="H23" s="2">
        <v>132000</v>
      </c>
      <c r="I23" s="2">
        <v>140800</v>
      </c>
      <c r="J23" s="2">
        <v>140800</v>
      </c>
      <c r="K23" s="2">
        <v>112200</v>
      </c>
      <c r="L23" s="2">
        <v>140800</v>
      </c>
      <c r="M23" s="2">
        <v>158400</v>
      </c>
      <c r="N23" s="2">
        <v>242000</v>
      </c>
      <c r="O23" s="16">
        <v>1925880</v>
      </c>
    </row>
    <row r="24" spans="2:15">
      <c r="B24" s="15" t="s">
        <v>63</v>
      </c>
      <c r="C24" s="2">
        <v>73920</v>
      </c>
      <c r="D24" s="2">
        <v>58080</v>
      </c>
      <c r="E24" s="2">
        <v>49368</v>
      </c>
      <c r="F24" s="2">
        <v>40392</v>
      </c>
      <c r="G24" s="2">
        <v>35904</v>
      </c>
      <c r="H24" s="2">
        <v>39600</v>
      </c>
      <c r="I24" s="2">
        <v>42240</v>
      </c>
      <c r="J24" s="2">
        <v>42240</v>
      </c>
      <c r="K24" s="2">
        <v>33660</v>
      </c>
      <c r="L24" s="2">
        <v>42240</v>
      </c>
      <c r="M24" s="2">
        <v>47520</v>
      </c>
      <c r="N24" s="2">
        <v>72600</v>
      </c>
      <c r="O24" s="16">
        <v>577764</v>
      </c>
    </row>
    <row r="25" spans="2:15">
      <c r="B25" s="15" t="s">
        <v>64</v>
      </c>
      <c r="C25" s="2">
        <v>29568</v>
      </c>
      <c r="D25" s="2">
        <v>23232</v>
      </c>
      <c r="E25" s="2">
        <v>19756</v>
      </c>
      <c r="F25" s="2">
        <v>16148</v>
      </c>
      <c r="G25" s="2">
        <v>14344</v>
      </c>
      <c r="H25" s="2">
        <v>15840</v>
      </c>
      <c r="I25" s="2">
        <v>16896</v>
      </c>
      <c r="J25" s="2">
        <v>16896</v>
      </c>
      <c r="K25" s="2">
        <v>13464</v>
      </c>
      <c r="L25" s="2">
        <v>16896</v>
      </c>
      <c r="M25" s="2">
        <v>19008</v>
      </c>
      <c r="N25" s="2">
        <v>29040</v>
      </c>
      <c r="O25" s="16">
        <v>231088</v>
      </c>
    </row>
    <row r="26" spans="2:15" s="20" customFormat="1">
      <c r="B26" s="17" t="s">
        <v>65</v>
      </c>
      <c r="C26" s="18">
        <v>31</v>
      </c>
      <c r="D26" s="18">
        <v>28</v>
      </c>
      <c r="E26" s="18">
        <v>31</v>
      </c>
      <c r="F26" s="18">
        <v>30</v>
      </c>
      <c r="G26" s="18">
        <v>31</v>
      </c>
      <c r="H26" s="18">
        <v>30</v>
      </c>
      <c r="I26" s="18">
        <v>31</v>
      </c>
      <c r="J26" s="18">
        <v>31</v>
      </c>
      <c r="K26" s="18">
        <v>30</v>
      </c>
      <c r="L26" s="18">
        <v>31</v>
      </c>
      <c r="M26" s="18">
        <v>30</v>
      </c>
      <c r="N26" s="18">
        <v>31</v>
      </c>
      <c r="O26" s="19"/>
    </row>
    <row r="27" spans="2:15" s="20" customFormat="1">
      <c r="B27" s="17" t="s">
        <v>66</v>
      </c>
      <c r="C27" s="18">
        <f>C22/C26/C21</f>
        <v>256.51612903225805</v>
      </c>
      <c r="D27" s="18">
        <f t="shared" ref="D27:N27" si="2">D22/D26/D21</f>
        <v>223.14285714285714</v>
      </c>
      <c r="E27" s="18">
        <f t="shared" si="2"/>
        <v>171.32258064516128</v>
      </c>
      <c r="F27" s="18">
        <f t="shared" si="2"/>
        <v>144.83333333333334</v>
      </c>
      <c r="G27" s="18">
        <f t="shared" si="2"/>
        <v>124.58064516129033</v>
      </c>
      <c r="H27" s="18">
        <f t="shared" si="2"/>
        <v>142</v>
      </c>
      <c r="I27" s="18">
        <f t="shared" si="2"/>
        <v>146.58064516129033</v>
      </c>
      <c r="J27" s="18">
        <f t="shared" si="2"/>
        <v>146.58064516129033</v>
      </c>
      <c r="K27" s="18">
        <f t="shared" si="2"/>
        <v>120.7</v>
      </c>
      <c r="L27" s="18">
        <f t="shared" si="2"/>
        <v>146.58064516129033</v>
      </c>
      <c r="M27" s="18">
        <f t="shared" si="2"/>
        <v>170.4</v>
      </c>
      <c r="N27" s="18">
        <f t="shared" si="2"/>
        <v>251.93548387096777</v>
      </c>
      <c r="O27" s="19"/>
    </row>
    <row r="28" spans="2:15">
      <c r="B28" s="12" t="s">
        <v>69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</row>
    <row r="29" spans="2:15">
      <c r="B29" s="14" t="s">
        <v>60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 s="10">
        <v>10</v>
      </c>
    </row>
    <row r="30" spans="2:15">
      <c r="B30" s="15" t="s">
        <v>61</v>
      </c>
      <c r="C30" s="2">
        <v>144840</v>
      </c>
      <c r="D30" s="2">
        <v>144840</v>
      </c>
      <c r="E30" s="2">
        <v>147680</v>
      </c>
      <c r="F30" s="2">
        <v>155060</v>
      </c>
      <c r="G30" s="2">
        <v>169830</v>
      </c>
      <c r="H30" s="2">
        <v>170400</v>
      </c>
      <c r="I30" s="2">
        <v>213000</v>
      </c>
      <c r="J30" s="2">
        <v>238560</v>
      </c>
      <c r="K30" s="2">
        <v>155060</v>
      </c>
      <c r="L30" s="2">
        <v>170400</v>
      </c>
      <c r="M30" s="2">
        <v>127800</v>
      </c>
      <c r="N30" s="2">
        <v>159040</v>
      </c>
      <c r="O30" s="16">
        <v>1996510</v>
      </c>
    </row>
    <row r="31" spans="2:15">
      <c r="B31" s="15" t="s">
        <v>62</v>
      </c>
      <c r="C31" s="2">
        <v>102000</v>
      </c>
      <c r="D31" s="2">
        <v>102000</v>
      </c>
      <c r="E31" s="2">
        <v>104000</v>
      </c>
      <c r="F31" s="2">
        <v>109200</v>
      </c>
      <c r="G31" s="2">
        <v>119600</v>
      </c>
      <c r="H31" s="2">
        <v>120000</v>
      </c>
      <c r="I31" s="2">
        <v>150000</v>
      </c>
      <c r="J31" s="2">
        <v>168000</v>
      </c>
      <c r="K31" s="2">
        <v>109200</v>
      </c>
      <c r="L31" s="2">
        <v>120000</v>
      </c>
      <c r="M31" s="2">
        <v>90000</v>
      </c>
      <c r="N31" s="2">
        <v>112000</v>
      </c>
      <c r="O31" s="16">
        <v>1406000</v>
      </c>
    </row>
    <row r="32" spans="2:15">
      <c r="B32" s="15" t="s">
        <v>63</v>
      </c>
      <c r="C32" s="2">
        <v>30600</v>
      </c>
      <c r="D32" s="2">
        <v>30600</v>
      </c>
      <c r="E32" s="2">
        <v>31200</v>
      </c>
      <c r="F32" s="2">
        <v>32760</v>
      </c>
      <c r="G32" s="2">
        <v>35880</v>
      </c>
      <c r="H32" s="2">
        <v>36000</v>
      </c>
      <c r="I32" s="2">
        <v>45000</v>
      </c>
      <c r="J32" s="2">
        <v>50400</v>
      </c>
      <c r="K32" s="2">
        <v>32760</v>
      </c>
      <c r="L32" s="2">
        <v>36000</v>
      </c>
      <c r="M32" s="2">
        <v>27000</v>
      </c>
      <c r="N32" s="2">
        <v>33600</v>
      </c>
      <c r="O32" s="16">
        <v>421800</v>
      </c>
    </row>
    <row r="33" spans="2:15">
      <c r="B33" s="15" t="s">
        <v>64</v>
      </c>
      <c r="C33" s="2">
        <v>12240</v>
      </c>
      <c r="D33" s="2">
        <v>12240</v>
      </c>
      <c r="E33" s="2">
        <v>12480</v>
      </c>
      <c r="F33" s="2">
        <v>13100</v>
      </c>
      <c r="G33" s="2">
        <v>14350</v>
      </c>
      <c r="H33" s="2">
        <v>14400</v>
      </c>
      <c r="I33" s="2">
        <v>18000</v>
      </c>
      <c r="J33" s="2">
        <v>20160</v>
      </c>
      <c r="K33" s="2">
        <v>13100</v>
      </c>
      <c r="L33" s="2">
        <v>14400</v>
      </c>
      <c r="M33" s="2">
        <v>10800</v>
      </c>
      <c r="N33" s="2">
        <v>13440</v>
      </c>
      <c r="O33" s="16">
        <v>168710</v>
      </c>
    </row>
    <row r="34" spans="2:15" s="20" customFormat="1">
      <c r="B34" s="17" t="s">
        <v>65</v>
      </c>
      <c r="C34" s="18">
        <v>31</v>
      </c>
      <c r="D34" s="18">
        <v>28</v>
      </c>
      <c r="E34" s="18">
        <v>31</v>
      </c>
      <c r="F34" s="18">
        <v>30</v>
      </c>
      <c r="G34" s="18">
        <v>31</v>
      </c>
      <c r="H34" s="18">
        <v>30</v>
      </c>
      <c r="I34" s="18">
        <v>31</v>
      </c>
      <c r="J34" s="18">
        <v>31</v>
      </c>
      <c r="K34" s="18">
        <v>30</v>
      </c>
      <c r="L34" s="18">
        <v>31</v>
      </c>
      <c r="M34" s="18">
        <v>30</v>
      </c>
      <c r="N34" s="18">
        <v>31</v>
      </c>
      <c r="O34" s="19"/>
    </row>
    <row r="35" spans="2:15" s="20" customFormat="1">
      <c r="B35" s="17" t="s">
        <v>66</v>
      </c>
      <c r="C35" s="18">
        <f>C30/C34/C29</f>
        <v>467.22580645161287</v>
      </c>
      <c r="D35" s="18">
        <f t="shared" ref="D35:N35" si="3">D30/D34/D29</f>
        <v>517.28571428571433</v>
      </c>
      <c r="E35" s="18">
        <f t="shared" si="3"/>
        <v>476.38709677419354</v>
      </c>
      <c r="F35" s="18">
        <f t="shared" si="3"/>
        <v>516.86666666666667</v>
      </c>
      <c r="G35" s="18">
        <f t="shared" si="3"/>
        <v>547.83870967741927</v>
      </c>
      <c r="H35" s="18">
        <f t="shared" si="3"/>
        <v>568</v>
      </c>
      <c r="I35" s="18">
        <f t="shared" si="3"/>
        <v>687.09677419354841</v>
      </c>
      <c r="J35" s="18">
        <f t="shared" si="3"/>
        <v>769.54838709677415</v>
      </c>
      <c r="K35" s="18">
        <f t="shared" si="3"/>
        <v>516.86666666666667</v>
      </c>
      <c r="L35" s="18">
        <f t="shared" si="3"/>
        <v>549.67741935483878</v>
      </c>
      <c r="M35" s="18">
        <f t="shared" si="3"/>
        <v>426</v>
      </c>
      <c r="N35" s="18">
        <f t="shared" si="3"/>
        <v>513.0322580645161</v>
      </c>
      <c r="O35" s="19"/>
    </row>
    <row r="36" spans="2:15">
      <c r="B36" s="12" t="s">
        <v>70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</row>
    <row r="37" spans="2:15">
      <c r="B37" s="14" t="s">
        <v>60</v>
      </c>
      <c r="C37">
        <v>6</v>
      </c>
      <c r="D37">
        <v>6</v>
      </c>
      <c r="E37">
        <v>6</v>
      </c>
      <c r="F37">
        <v>6</v>
      </c>
      <c r="G37">
        <v>6</v>
      </c>
      <c r="H37">
        <v>6</v>
      </c>
      <c r="I37">
        <v>6</v>
      </c>
      <c r="J37">
        <v>6</v>
      </c>
      <c r="K37">
        <v>6</v>
      </c>
      <c r="L37">
        <v>6</v>
      </c>
      <c r="M37">
        <v>6</v>
      </c>
      <c r="N37">
        <v>6</v>
      </c>
      <c r="O37" s="10">
        <v>6</v>
      </c>
    </row>
    <row r="38" spans="2:15">
      <c r="B38" s="15" t="s">
        <v>61</v>
      </c>
      <c r="C38" s="2">
        <v>109056</v>
      </c>
      <c r="D38" s="2">
        <v>95424</v>
      </c>
      <c r="E38" s="2">
        <v>95424</v>
      </c>
      <c r="F38" s="2">
        <v>89460</v>
      </c>
      <c r="G38" s="2">
        <v>149100</v>
      </c>
      <c r="H38" s="2">
        <v>122688</v>
      </c>
      <c r="I38" s="2">
        <v>170400</v>
      </c>
      <c r="J38" s="2">
        <v>170400</v>
      </c>
      <c r="K38" s="2">
        <v>143136</v>
      </c>
      <c r="L38" s="2">
        <v>149952</v>
      </c>
      <c r="M38" s="2">
        <v>122688</v>
      </c>
      <c r="N38" s="2">
        <v>145692</v>
      </c>
      <c r="O38" s="16">
        <v>1563420</v>
      </c>
    </row>
    <row r="39" spans="2:15">
      <c r="B39" s="15" t="s">
        <v>62</v>
      </c>
      <c r="C39" s="2">
        <v>76800</v>
      </c>
      <c r="D39" s="2">
        <v>67200</v>
      </c>
      <c r="E39" s="2">
        <v>67200</v>
      </c>
      <c r="F39" s="2">
        <v>63000</v>
      </c>
      <c r="G39" s="2">
        <v>105000</v>
      </c>
      <c r="H39" s="2">
        <v>86400</v>
      </c>
      <c r="I39" s="2">
        <v>120000</v>
      </c>
      <c r="J39" s="2">
        <v>120000</v>
      </c>
      <c r="K39" s="2">
        <v>100800</v>
      </c>
      <c r="L39" s="2">
        <v>105600</v>
      </c>
      <c r="M39" s="2">
        <v>86400</v>
      </c>
      <c r="N39" s="2">
        <v>102600</v>
      </c>
      <c r="O39" s="16">
        <v>1101000</v>
      </c>
    </row>
    <row r="40" spans="2:15">
      <c r="B40" s="15" t="s">
        <v>63</v>
      </c>
      <c r="C40" s="2">
        <v>23040</v>
      </c>
      <c r="D40" s="2">
        <v>20160</v>
      </c>
      <c r="E40" s="2">
        <v>20160</v>
      </c>
      <c r="F40" s="2">
        <v>18900</v>
      </c>
      <c r="G40" s="2">
        <v>31500</v>
      </c>
      <c r="H40" s="2">
        <v>25920</v>
      </c>
      <c r="I40" s="2">
        <v>36000</v>
      </c>
      <c r="J40" s="2">
        <v>36000</v>
      </c>
      <c r="K40" s="2">
        <v>30240</v>
      </c>
      <c r="L40" s="2">
        <v>31680</v>
      </c>
      <c r="M40" s="2">
        <v>25920</v>
      </c>
      <c r="N40" s="2">
        <v>30780</v>
      </c>
      <c r="O40" s="16">
        <v>330300</v>
      </c>
    </row>
    <row r="41" spans="2:15">
      <c r="B41" s="15" t="s">
        <v>64</v>
      </c>
      <c r="C41" s="2">
        <v>9216</v>
      </c>
      <c r="D41" s="2">
        <v>8064</v>
      </c>
      <c r="E41" s="2">
        <v>8064</v>
      </c>
      <c r="F41" s="2">
        <v>7560</v>
      </c>
      <c r="G41" s="2">
        <v>12600</v>
      </c>
      <c r="H41" s="2">
        <v>10368</v>
      </c>
      <c r="I41" s="2">
        <v>14400</v>
      </c>
      <c r="J41" s="2">
        <v>14400</v>
      </c>
      <c r="K41" s="2">
        <v>12096</v>
      </c>
      <c r="L41" s="2">
        <v>12672</v>
      </c>
      <c r="M41" s="2">
        <v>10368</v>
      </c>
      <c r="N41" s="2">
        <v>12312</v>
      </c>
      <c r="O41" s="16">
        <v>132120</v>
      </c>
    </row>
    <row r="42" spans="2:15" s="20" customFormat="1">
      <c r="B42" s="17" t="s">
        <v>65</v>
      </c>
      <c r="C42" s="18">
        <v>31</v>
      </c>
      <c r="D42" s="18">
        <v>28</v>
      </c>
      <c r="E42" s="18">
        <v>31</v>
      </c>
      <c r="F42" s="18">
        <v>30</v>
      </c>
      <c r="G42" s="18">
        <v>31</v>
      </c>
      <c r="H42" s="18">
        <v>30</v>
      </c>
      <c r="I42" s="18">
        <v>31</v>
      </c>
      <c r="J42" s="18">
        <v>31</v>
      </c>
      <c r="K42" s="18">
        <v>30</v>
      </c>
      <c r="L42" s="18">
        <v>31</v>
      </c>
      <c r="M42" s="18">
        <v>30</v>
      </c>
      <c r="N42" s="18">
        <v>31</v>
      </c>
      <c r="O42" s="19"/>
    </row>
    <row r="43" spans="2:15" s="20" customFormat="1">
      <c r="B43" s="17" t="s">
        <v>66</v>
      </c>
      <c r="C43" s="18">
        <f>C38/C42/C37</f>
        <v>586.32258064516134</v>
      </c>
      <c r="D43" s="18">
        <f t="shared" ref="D43:N43" si="4">D38/D42/D37</f>
        <v>568</v>
      </c>
      <c r="E43" s="18">
        <f t="shared" si="4"/>
        <v>513.0322580645161</v>
      </c>
      <c r="F43" s="18">
        <f t="shared" si="4"/>
        <v>497</v>
      </c>
      <c r="G43" s="18">
        <f t="shared" si="4"/>
        <v>801.61290322580646</v>
      </c>
      <c r="H43" s="18">
        <f t="shared" si="4"/>
        <v>681.6</v>
      </c>
      <c r="I43" s="18">
        <f t="shared" si="4"/>
        <v>916.12903225806451</v>
      </c>
      <c r="J43" s="18">
        <f t="shared" si="4"/>
        <v>916.12903225806451</v>
      </c>
      <c r="K43" s="18">
        <f t="shared" si="4"/>
        <v>795.19999999999993</v>
      </c>
      <c r="L43" s="18">
        <f t="shared" si="4"/>
        <v>806.19354838709671</v>
      </c>
      <c r="M43" s="18">
        <f t="shared" si="4"/>
        <v>681.6</v>
      </c>
      <c r="N43" s="18">
        <f t="shared" si="4"/>
        <v>783.29032258064524</v>
      </c>
      <c r="O43" s="19"/>
    </row>
    <row r="44" spans="2:15">
      <c r="B44" s="12" t="s">
        <v>71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</row>
    <row r="45" spans="2:15">
      <c r="B45" s="14" t="s">
        <v>60</v>
      </c>
      <c r="C45">
        <v>76</v>
      </c>
      <c r="D45">
        <v>76</v>
      </c>
      <c r="E45">
        <v>76</v>
      </c>
      <c r="F45">
        <v>76</v>
      </c>
      <c r="G45">
        <v>76</v>
      </c>
      <c r="H45">
        <v>76</v>
      </c>
      <c r="I45">
        <v>76</v>
      </c>
      <c r="J45">
        <v>76</v>
      </c>
      <c r="K45">
        <v>76</v>
      </c>
      <c r="L45">
        <v>76</v>
      </c>
      <c r="M45">
        <v>76</v>
      </c>
      <c r="N45">
        <v>76</v>
      </c>
      <c r="O45" s="10">
        <v>76</v>
      </c>
    </row>
    <row r="46" spans="2:15">
      <c r="B46" s="15" t="s">
        <v>61</v>
      </c>
      <c r="C46" s="2">
        <v>307572</v>
      </c>
      <c r="D46" s="2">
        <v>356136</v>
      </c>
      <c r="E46" s="2">
        <v>322696</v>
      </c>
      <c r="F46" s="2">
        <v>336680</v>
      </c>
      <c r="G46" s="2">
        <v>322696</v>
      </c>
      <c r="H46" s="2">
        <v>291384</v>
      </c>
      <c r="I46" s="2">
        <v>356136</v>
      </c>
      <c r="J46" s="2">
        <v>372324</v>
      </c>
      <c r="K46" s="2">
        <v>210444</v>
      </c>
      <c r="L46" s="2">
        <v>453264</v>
      </c>
      <c r="M46" s="2">
        <v>291384</v>
      </c>
      <c r="N46" s="2">
        <v>403636</v>
      </c>
      <c r="O46" s="16">
        <v>4024352</v>
      </c>
    </row>
    <row r="47" spans="2:15">
      <c r="B47" s="15" t="s">
        <v>62</v>
      </c>
      <c r="C47" s="2">
        <v>216600</v>
      </c>
      <c r="D47" s="2">
        <v>250800</v>
      </c>
      <c r="E47" s="2">
        <v>227240</v>
      </c>
      <c r="F47" s="2">
        <v>237120</v>
      </c>
      <c r="G47" s="2">
        <v>227240</v>
      </c>
      <c r="H47" s="2">
        <v>205200</v>
      </c>
      <c r="I47" s="2">
        <v>250800</v>
      </c>
      <c r="J47" s="2">
        <v>262200</v>
      </c>
      <c r="K47" s="2">
        <v>148200</v>
      </c>
      <c r="L47" s="2">
        <v>319200</v>
      </c>
      <c r="M47" s="2">
        <v>205200</v>
      </c>
      <c r="N47" s="2">
        <v>284240</v>
      </c>
      <c r="O47" s="16">
        <v>2834040</v>
      </c>
    </row>
    <row r="48" spans="2:15">
      <c r="B48" s="15" t="s">
        <v>63</v>
      </c>
      <c r="C48" s="2">
        <v>64980</v>
      </c>
      <c r="D48" s="2">
        <v>75240</v>
      </c>
      <c r="E48" s="2">
        <v>68172</v>
      </c>
      <c r="F48" s="2">
        <v>71136</v>
      </c>
      <c r="G48" s="2">
        <v>68172</v>
      </c>
      <c r="H48" s="2">
        <v>61560</v>
      </c>
      <c r="I48" s="2">
        <v>75240</v>
      </c>
      <c r="J48" s="2">
        <v>78660</v>
      </c>
      <c r="K48" s="2">
        <v>44460</v>
      </c>
      <c r="L48" s="2">
        <v>95760</v>
      </c>
      <c r="M48" s="2">
        <v>61560</v>
      </c>
      <c r="N48" s="2">
        <v>85272</v>
      </c>
      <c r="O48" s="16">
        <v>850212</v>
      </c>
    </row>
    <row r="49" spans="2:15">
      <c r="B49" s="15" t="s">
        <v>64</v>
      </c>
      <c r="C49" s="2">
        <v>25992</v>
      </c>
      <c r="D49" s="2">
        <v>30096</v>
      </c>
      <c r="E49" s="2">
        <v>27284</v>
      </c>
      <c r="F49" s="2">
        <v>28424</v>
      </c>
      <c r="G49" s="2">
        <v>27284</v>
      </c>
      <c r="H49" s="2">
        <v>24624</v>
      </c>
      <c r="I49" s="2">
        <v>30096</v>
      </c>
      <c r="J49" s="2">
        <v>31464</v>
      </c>
      <c r="K49" s="2">
        <v>17784</v>
      </c>
      <c r="L49" s="2">
        <v>38304</v>
      </c>
      <c r="M49" s="2">
        <v>24624</v>
      </c>
      <c r="N49" s="2">
        <v>34124</v>
      </c>
      <c r="O49" s="16">
        <v>340100</v>
      </c>
    </row>
    <row r="50" spans="2:15" s="20" customFormat="1">
      <c r="B50" s="17" t="s">
        <v>65</v>
      </c>
      <c r="C50" s="18">
        <v>31</v>
      </c>
      <c r="D50" s="18">
        <v>28</v>
      </c>
      <c r="E50" s="18">
        <v>31</v>
      </c>
      <c r="F50" s="18">
        <v>30</v>
      </c>
      <c r="G50" s="18">
        <v>31</v>
      </c>
      <c r="H50" s="18">
        <v>30</v>
      </c>
      <c r="I50" s="18">
        <v>31</v>
      </c>
      <c r="J50" s="18">
        <v>31</v>
      </c>
      <c r="K50" s="18">
        <v>30</v>
      </c>
      <c r="L50" s="18">
        <v>31</v>
      </c>
      <c r="M50" s="18">
        <v>30</v>
      </c>
      <c r="N50" s="18">
        <v>31</v>
      </c>
      <c r="O50" s="19"/>
    </row>
    <row r="51" spans="2:15" s="20" customFormat="1">
      <c r="B51" s="17" t="s">
        <v>66</v>
      </c>
      <c r="C51" s="18">
        <f>C46/C50/C45</f>
        <v>130.54838709677421</v>
      </c>
      <c r="D51" s="18">
        <f t="shared" ref="D51:N51" si="5">D46/D50/D45</f>
        <v>167.35714285714286</v>
      </c>
      <c r="E51" s="18">
        <f t="shared" si="5"/>
        <v>136.96774193548387</v>
      </c>
      <c r="F51" s="18">
        <f t="shared" si="5"/>
        <v>147.66666666666666</v>
      </c>
      <c r="G51" s="18">
        <f t="shared" si="5"/>
        <v>136.96774193548387</v>
      </c>
      <c r="H51" s="18">
        <f t="shared" si="5"/>
        <v>127.8</v>
      </c>
      <c r="I51" s="18">
        <f t="shared" si="5"/>
        <v>151.16129032258064</v>
      </c>
      <c r="J51" s="18">
        <f t="shared" si="5"/>
        <v>158.03225806451613</v>
      </c>
      <c r="K51" s="18">
        <f t="shared" si="5"/>
        <v>92.3</v>
      </c>
      <c r="L51" s="18">
        <f t="shared" si="5"/>
        <v>192.38709677419357</v>
      </c>
      <c r="M51" s="18">
        <f t="shared" si="5"/>
        <v>127.8</v>
      </c>
      <c r="N51" s="18">
        <f t="shared" si="5"/>
        <v>171.32258064516128</v>
      </c>
      <c r="O51" s="19"/>
    </row>
    <row r="52" spans="2:15">
      <c r="B52" s="21" t="s">
        <v>72</v>
      </c>
      <c r="C52" s="22">
        <v>200</v>
      </c>
      <c r="D52" s="22">
        <v>200</v>
      </c>
      <c r="E52" s="22">
        <v>200</v>
      </c>
      <c r="F52" s="22">
        <v>200</v>
      </c>
      <c r="G52" s="22">
        <v>200</v>
      </c>
      <c r="H52" s="22">
        <v>200</v>
      </c>
      <c r="I52" s="22">
        <v>200</v>
      </c>
      <c r="J52" s="22">
        <v>200</v>
      </c>
      <c r="K52" s="22">
        <v>200</v>
      </c>
      <c r="L52" s="22">
        <v>200</v>
      </c>
      <c r="M52" s="22">
        <v>200</v>
      </c>
      <c r="N52" s="22">
        <v>200</v>
      </c>
      <c r="O52" s="22">
        <v>200</v>
      </c>
    </row>
    <row r="53" spans="2:15">
      <c r="B53" s="23" t="s">
        <v>73</v>
      </c>
      <c r="C53" s="16">
        <v>1598920</v>
      </c>
      <c r="D53" s="16">
        <v>1551208</v>
      </c>
      <c r="E53" s="16">
        <v>1538736</v>
      </c>
      <c r="F53" s="16">
        <v>1483232</v>
      </c>
      <c r="G53" s="16">
        <v>1566994</v>
      </c>
      <c r="H53" s="16">
        <v>1278000</v>
      </c>
      <c r="I53" s="16">
        <v>1823848</v>
      </c>
      <c r="J53" s="16">
        <v>1865596</v>
      </c>
      <c r="K53" s="16">
        <v>1231988</v>
      </c>
      <c r="L53" s="16">
        <v>1814476</v>
      </c>
      <c r="M53" s="16">
        <v>1431360</v>
      </c>
      <c r="N53" s="16">
        <v>1793292</v>
      </c>
      <c r="O53" s="16">
        <v>18977650</v>
      </c>
    </row>
    <row r="54" spans="2:15">
      <c r="B54" s="23" t="s">
        <v>74</v>
      </c>
      <c r="C54" s="16">
        <v>1126000</v>
      </c>
      <c r="D54" s="16">
        <v>1092400</v>
      </c>
      <c r="E54" s="16">
        <v>1083600</v>
      </c>
      <c r="F54" s="16">
        <v>1044560</v>
      </c>
      <c r="G54" s="16">
        <v>1103520</v>
      </c>
      <c r="H54" s="16">
        <v>900000</v>
      </c>
      <c r="I54" s="16">
        <v>1284400</v>
      </c>
      <c r="J54" s="16">
        <v>1313800</v>
      </c>
      <c r="K54" s="16">
        <v>867600</v>
      </c>
      <c r="L54" s="16">
        <v>1277800</v>
      </c>
      <c r="M54" s="16">
        <v>1008000</v>
      </c>
      <c r="N54" s="16">
        <v>1262880</v>
      </c>
      <c r="O54" s="16">
        <v>13364560</v>
      </c>
    </row>
    <row r="55" spans="2:15">
      <c r="B55" s="23" t="s">
        <v>75</v>
      </c>
      <c r="C55" s="16">
        <v>337800</v>
      </c>
      <c r="D55" s="16">
        <v>327720</v>
      </c>
      <c r="E55" s="16">
        <v>325080</v>
      </c>
      <c r="F55" s="16">
        <v>313368</v>
      </c>
      <c r="G55" s="16">
        <v>331056</v>
      </c>
      <c r="H55" s="16">
        <v>270000</v>
      </c>
      <c r="I55" s="16">
        <v>385320</v>
      </c>
      <c r="J55" s="16">
        <v>394140</v>
      </c>
      <c r="K55" s="16">
        <v>260280</v>
      </c>
      <c r="L55" s="16">
        <v>383340</v>
      </c>
      <c r="M55" s="16">
        <v>302400</v>
      </c>
      <c r="N55" s="16">
        <v>378864</v>
      </c>
      <c r="O55" s="16">
        <v>4009368</v>
      </c>
    </row>
    <row r="56" spans="2:15">
      <c r="B56" s="23" t="s">
        <v>76</v>
      </c>
      <c r="C56" s="16">
        <v>135120</v>
      </c>
      <c r="D56" s="16">
        <v>131088</v>
      </c>
      <c r="E56" s="16">
        <v>130056</v>
      </c>
      <c r="F56" s="16">
        <v>125304</v>
      </c>
      <c r="G56" s="16">
        <v>132418</v>
      </c>
      <c r="H56" s="16">
        <v>108000</v>
      </c>
      <c r="I56" s="16">
        <v>154128</v>
      </c>
      <c r="J56" s="16">
        <v>157656</v>
      </c>
      <c r="K56" s="16">
        <v>104108</v>
      </c>
      <c r="L56" s="16">
        <v>153336</v>
      </c>
      <c r="M56" s="16">
        <v>120960</v>
      </c>
      <c r="N56" s="16">
        <v>151548</v>
      </c>
      <c r="O56" s="16">
        <v>1603722</v>
      </c>
    </row>
    <row r="57" spans="2:15">
      <c r="B57" s="23" t="s">
        <v>77</v>
      </c>
      <c r="C57" s="24">
        <v>31</v>
      </c>
      <c r="D57" s="24">
        <v>28</v>
      </c>
      <c r="E57" s="24">
        <v>31</v>
      </c>
      <c r="F57" s="24">
        <v>30</v>
      </c>
      <c r="G57" s="24">
        <v>31</v>
      </c>
      <c r="H57" s="24">
        <v>30</v>
      </c>
      <c r="I57" s="24">
        <v>31</v>
      </c>
      <c r="J57" s="24">
        <v>31</v>
      </c>
      <c r="K57" s="24">
        <v>30</v>
      </c>
      <c r="L57" s="24">
        <v>31</v>
      </c>
      <c r="M57" s="24">
        <v>30</v>
      </c>
      <c r="N57" s="24">
        <v>31</v>
      </c>
      <c r="O57" s="24">
        <v>30.416666666666668</v>
      </c>
    </row>
    <row r="58" spans="2:15" ht="15" thickBot="1">
      <c r="B58" s="25" t="s">
        <v>78</v>
      </c>
      <c r="C58" s="26">
        <v>386.24</v>
      </c>
      <c r="D58" s="26">
        <v>386.24</v>
      </c>
      <c r="E58" s="26">
        <v>333.42130434782661</v>
      </c>
      <c r="F58" s="26">
        <v>333.40626984127101</v>
      </c>
      <c r="G58" s="26">
        <v>333.41336956521803</v>
      </c>
      <c r="H58" s="26">
        <v>386.24</v>
      </c>
      <c r="I58" s="26">
        <v>386.24</v>
      </c>
      <c r="J58" s="26">
        <v>386.24</v>
      </c>
      <c r="K58" s="26">
        <v>333.4150476190477</v>
      </c>
      <c r="L58" s="26">
        <v>386.24</v>
      </c>
      <c r="M58" s="26">
        <v>386.24</v>
      </c>
      <c r="N58" s="26">
        <v>430.26034449760687</v>
      </c>
      <c r="O58" s="26">
        <v>372.29969465591421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J21"/>
  <sheetViews>
    <sheetView workbookViewId="0">
      <selection activeCell="B3" sqref="B3:E3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10" ht="16" thickBot="1">
      <c r="B2" s="4" t="s">
        <v>4</v>
      </c>
      <c r="C2" s="5"/>
      <c r="D2" s="5"/>
      <c r="E2" s="5"/>
    </row>
    <row r="3" spans="2:10" ht="29" thickBot="1">
      <c r="B3" s="32" t="s">
        <v>22</v>
      </c>
      <c r="C3" s="33"/>
      <c r="D3" s="33"/>
      <c r="E3" s="34"/>
    </row>
    <row r="5" spans="2:10" ht="18.5">
      <c r="B5" s="8" t="s">
        <v>1</v>
      </c>
      <c r="C5" s="8" t="s">
        <v>2</v>
      </c>
      <c r="D5" s="8" t="s">
        <v>3</v>
      </c>
      <c r="E5" s="8" t="s">
        <v>0</v>
      </c>
      <c r="J5" s="8"/>
    </row>
    <row r="6" spans="2:10" ht="15.5">
      <c r="B6" s="6">
        <f>IF($B$3="Club Deluxe",'Revenue - Data'!M2,IF($B$3="King",'Revenue - Data'!M14,IF($B$3="Superior King",'Revenue - Data'!M26,IF($B$3="Executive",'Revenue - Data'!M38,IF($B$3="One Club",'Revenue - Data'!M50,'Revenue - Data'!M62)))))</f>
        <v>1.0811688311688312</v>
      </c>
      <c r="C6" s="6">
        <f>IF($B$3="Club Deluxe",'Revenue - Data'!N2,IF($B$3="King",'Revenue - Data'!N14,IF($B$3="Superior King",'Revenue - Data'!N26,IF($B$3="Executive",'Revenue - Data'!N38,IF($B$3="One Club",'Revenue - Data'!N50,'Revenue - Data'!N62)))))</f>
        <v>1.6474837662337662</v>
      </c>
      <c r="D6" s="6">
        <f>IF($B$3="Club Deluxe",'Revenue - Data'!O2,IF($B$3="King",'Revenue - Data'!O14,IF($B$3="Superior King",'Revenue - Data'!O26,IF($B$3="Executive",'Revenue - Data'!O38,IF($B$3="One Club",'Revenue - Data'!O50,'Revenue - Data'!O62)))))</f>
        <v>1.6248308982683983</v>
      </c>
      <c r="E6" s="7">
        <v>1</v>
      </c>
      <c r="J6" s="6">
        <v>0.9</v>
      </c>
    </row>
    <row r="7" spans="2:10" ht="15.5">
      <c r="B7" s="6">
        <f>IF($B$3="Club Deluxe",'Revenue - Data'!M3,IF($B$3="King",'Revenue - Data'!M15,IF($B$3="Superior King",'Revenue - Data'!M27,IF($B$3="Executive",'Revenue - Data'!M39,IF($B$3="One Club",'Revenue - Data'!M51,'Revenue - Data'!M63)))))</f>
        <v>1.1353305785123966</v>
      </c>
      <c r="C7" s="6">
        <f>IF($B$3="Club Deluxe",'Revenue - Data'!N3,IF($B$3="King",'Revenue - Data'!N15,IF($B$3="Superior King",'Revenue - Data'!N27,IF($B$3="Executive",'Revenue - Data'!N39,IF($B$3="One Club",'Revenue - Data'!N51,'Revenue - Data'!N63)))))</f>
        <v>1.4303891184573003</v>
      </c>
      <c r="D7" s="6">
        <f>IF($B$3="Club Deluxe",'Revenue - Data'!O3,IF($B$3="King",'Revenue - Data'!O15,IF($B$3="Superior King",'Revenue - Data'!O27,IF($B$3="Executive",'Revenue - Data'!O39,IF($B$3="One Club",'Revenue - Data'!O51,'Revenue - Data'!O63)))))</f>
        <v>1.3619146005509641</v>
      </c>
      <c r="E7" s="7">
        <v>2</v>
      </c>
      <c r="J7" s="6">
        <v>0.9</v>
      </c>
    </row>
    <row r="8" spans="2:10" ht="15.5">
      <c r="B8" s="6">
        <f>IF($B$3="Club Deluxe",'Revenue - Data'!M4,IF($B$3="King",'Revenue - Data'!M16,IF($B$3="Superior King",'Revenue - Data'!M28,IF($B$3="Executive",'Revenue - Data'!M40,IF($B$3="One Club",'Revenue - Data'!M52,'Revenue - Data'!M64)))))</f>
        <v>1.0537190082644627</v>
      </c>
      <c r="C8" s="6">
        <f>IF($B$3="Club Deluxe",'Revenue - Data'!N4,IF($B$3="King",'Revenue - Data'!N16,IF($B$3="Superior King",'Revenue - Data'!N28,IF($B$3="Executive",'Revenue - Data'!N40,IF($B$3="One Club",'Revenue - Data'!N52,'Revenue - Data'!N64)))))</f>
        <v>0.93027872305947168</v>
      </c>
      <c r="D8" s="6">
        <f>IF($B$3="Club Deluxe",'Revenue - Data'!O4,IF($B$3="King",'Revenue - Data'!O16,IF($B$3="Superior King",'Revenue - Data'!O28,IF($B$3="Executive",'Revenue - Data'!O40,IF($B$3="One Club",'Revenue - Data'!O52,'Revenue - Data'!O64)))))</f>
        <v>0.95186272524802595</v>
      </c>
      <c r="E8" s="7">
        <v>3</v>
      </c>
      <c r="J8" s="6">
        <v>0.9</v>
      </c>
    </row>
    <row r="9" spans="2:10" ht="15.5">
      <c r="B9" s="6">
        <f>IF($B$3="Club Deluxe",'Revenue - Data'!M5,IF($B$3="King",'Revenue - Data'!M17,IF($B$3="Superior King",'Revenue - Data'!M29,IF($B$3="Executive",'Revenue - Data'!M41,IF($B$3="One Club",'Revenue - Data'!M53,'Revenue - Data'!M65)))))</f>
        <v>1.0088383838383839</v>
      </c>
      <c r="C9" s="6">
        <f>IF($B$3="Club Deluxe",'Revenue - Data'!N5,IF($B$3="King",'Revenue - Data'!N17,IF($B$3="Superior King",'Revenue - Data'!N29,IF($B$3="Executive",'Revenue - Data'!N41,IF($B$3="One Club",'Revenue - Data'!N53,'Revenue - Data'!N65)))))</f>
        <v>0.77790156466627058</v>
      </c>
      <c r="D9" s="6">
        <f>IF($B$3="Club Deluxe",'Revenue - Data'!O5,IF($B$3="King",'Revenue - Data'!O17,IF($B$3="Superior King",'Revenue - Data'!O29,IF($B$3="Executive",'Revenue - Data'!O41,IF($B$3="One Club",'Revenue - Data'!O53,'Revenue - Data'!O65)))))</f>
        <v>0.79917017587317318</v>
      </c>
      <c r="E9" s="7">
        <v>4</v>
      </c>
      <c r="J9" s="6">
        <v>0.9</v>
      </c>
    </row>
    <row r="10" spans="2:10" ht="15.5">
      <c r="B10" s="6">
        <f>IF($B$3="Club Deluxe",'Revenue - Data'!M6,IF($B$3="King",'Revenue - Data'!M18,IF($B$3="Superior King",'Revenue - Data'!M30,IF($B$3="Executive",'Revenue - Data'!M42,IF($B$3="One Club",'Revenue - Data'!M54,'Revenue - Data'!M66)))))</f>
        <v>0.97443181818181823</v>
      </c>
      <c r="C10" s="6">
        <f>IF($B$3="Club Deluxe",'Revenue - Data'!N6,IF($B$3="King",'Revenue - Data'!N18,IF($B$3="Superior King",'Revenue - Data'!N30,IF($B$3="Executive",'Revenue - Data'!N42,IF($B$3="One Club",'Revenue - Data'!N54,'Revenue - Data'!N66)))))</f>
        <v>0.52562388591800357</v>
      </c>
      <c r="D10" s="6">
        <f>IF($B$3="Club Deluxe",'Revenue - Data'!O6,IF($B$3="King",'Revenue - Data'!O18,IF($B$3="Superior King",'Revenue - Data'!O30,IF($B$3="Executive",'Revenue - Data'!O42,IF($B$3="One Club",'Revenue - Data'!O54,'Revenue - Data'!O66)))))</f>
        <v>0.5418293363078639</v>
      </c>
      <c r="E10" s="7">
        <v>5</v>
      </c>
      <c r="J10" s="6">
        <v>0.9</v>
      </c>
    </row>
    <row r="11" spans="2:10" ht="15.5">
      <c r="B11" s="6">
        <f>IF($B$3="Club Deluxe",'Revenue - Data'!M7,IF($B$3="King",'Revenue - Data'!M19,IF($B$3="Superior King",'Revenue - Data'!M31,IF($B$3="Executive",'Revenue - Data'!M43,IF($B$3="One Club",'Revenue - Data'!M55,'Revenue - Data'!M67)))))</f>
        <v>0.79242424242424248</v>
      </c>
      <c r="C11" s="6">
        <f>IF($B$3="Club Deluxe",'Revenue - Data'!N7,IF($B$3="King",'Revenue - Data'!N19,IF($B$3="Superior King",'Revenue - Data'!N31,IF($B$3="Executive",'Revenue - Data'!N43,IF($B$3="One Club",'Revenue - Data'!N55,'Revenue - Data'!N67)))))</f>
        <v>0.61328282828282832</v>
      </c>
      <c r="D11" s="6">
        <f>IF($B$3="Club Deluxe",'Revenue - Data'!O7,IF($B$3="King",'Revenue - Data'!O19,IF($B$3="Superior King",'Revenue - Data'!O31,IF($B$3="Executive",'Revenue - Data'!O43,IF($B$3="One Club",'Revenue - Data'!O55,'Revenue - Data'!O67)))))</f>
        <v>0.66029040404040407</v>
      </c>
      <c r="E11" s="7">
        <v>6</v>
      </c>
      <c r="J11" s="6">
        <v>0.9</v>
      </c>
    </row>
    <row r="12" spans="2:10" ht="15.5">
      <c r="B12" s="6">
        <f>IF($B$3="Club Deluxe",'Revenue - Data'!M8,IF($B$3="King",'Revenue - Data'!M20,IF($B$3="Superior King",'Revenue - Data'!M32,IF($B$3="Executive",'Revenue - Data'!M44,IF($B$3="One Club",'Revenue - Data'!M56,'Revenue - Data'!M68)))))</f>
        <v>0.43039772727272729</v>
      </c>
      <c r="C12" s="6">
        <f>IF($B$3="Club Deluxe",'Revenue - Data'!N8,IF($B$3="King",'Revenue - Data'!N20,IF($B$3="Superior King",'Revenue - Data'!N32,IF($B$3="Executive",'Revenue - Data'!N44,IF($B$3="One Club",'Revenue - Data'!N56,'Revenue - Data'!N68)))))</f>
        <v>9.8697916666666663E-2</v>
      </c>
      <c r="D12" s="6">
        <f>IF($B$3="Club Deluxe",'Revenue - Data'!O8,IF($B$3="King",'Revenue - Data'!O20,IF($B$3="Superior King",'Revenue - Data'!O32,IF($B$3="Executive",'Revenue - Data'!O44,IF($B$3="One Club",'Revenue - Data'!O56,'Revenue - Data'!O68)))))</f>
        <v>0.10292376893939394</v>
      </c>
      <c r="E12" s="7">
        <v>7</v>
      </c>
      <c r="J12" s="6">
        <v>0.9</v>
      </c>
    </row>
    <row r="13" spans="2:10" ht="15.5">
      <c r="B13" s="6">
        <f>IF($B$3="Club Deluxe",'Revenue - Data'!M9,IF($B$3="King",'Revenue - Data'!M21,IF($B$3="Superior King",'Revenue - Data'!M33,IF($B$3="Executive",'Revenue - Data'!M45,IF($B$3="One Club",'Revenue - Data'!M57,'Revenue - Data'!M69)))))</f>
        <v>0.37926136363636365</v>
      </c>
      <c r="C13" s="6">
        <f>IF($B$3="Club Deluxe",'Revenue - Data'!N9,IF($B$3="King",'Revenue - Data'!N21,IF($B$3="Superior King",'Revenue - Data'!N33,IF($B$3="Executive",'Revenue - Data'!N45,IF($B$3="One Club",'Revenue - Data'!N57,'Revenue - Data'!N69)))))</f>
        <v>6.5364583333333337E-2</v>
      </c>
      <c r="D13" s="6">
        <f>IF($B$3="Club Deluxe",'Revenue - Data'!O9,IF($B$3="King",'Revenue - Data'!O21,IF($B$3="Superior King",'Revenue - Data'!O33,IF($B$3="Executive",'Revenue - Data'!O45,IF($B$3="One Club",'Revenue - Data'!O57,'Revenue - Data'!O69)))))</f>
        <v>6.8714488636363633E-2</v>
      </c>
      <c r="E13" s="7">
        <v>8</v>
      </c>
      <c r="J13" s="6">
        <v>0.9</v>
      </c>
    </row>
    <row r="14" spans="2:10" ht="15.5">
      <c r="B14" s="6">
        <f>IF($B$3="Club Deluxe",'Revenue - Data'!M10,IF($B$3="King",'Revenue - Data'!M22,IF($B$3="Superior King",'Revenue - Data'!M34,IF($B$3="Executive",'Revenue - Data'!M46,IF($B$3="One Club",'Revenue - Data'!M58,'Revenue - Data'!M70)))))</f>
        <v>0.36969696969696969</v>
      </c>
      <c r="C14" s="6">
        <f>IF($B$3="Club Deluxe",'Revenue - Data'!N10,IF($B$3="King",'Revenue - Data'!N22,IF($B$3="Superior King",'Revenue - Data'!N34,IF($B$3="Executive",'Revenue - Data'!N46,IF($B$3="One Club",'Revenue - Data'!N58,'Revenue - Data'!N70)))))</f>
        <v>9.0136660724896026E-2</v>
      </c>
      <c r="D14" s="6">
        <f>IF($B$3="Club Deluxe",'Revenue - Data'!O10,IF($B$3="King",'Revenue - Data'!O22,IF($B$3="Superior King",'Revenue - Data'!O34,IF($B$3="Executive",'Revenue - Data'!O46,IF($B$3="One Club",'Revenue - Data'!O58,'Revenue - Data'!O70)))))</f>
        <v>8.3333333333333329E-2</v>
      </c>
      <c r="E14" s="7">
        <v>9</v>
      </c>
      <c r="J14" s="6">
        <v>0.9</v>
      </c>
    </row>
    <row r="15" spans="2:10" ht="15.5">
      <c r="B15" s="6">
        <f>IF($B$3="Club Deluxe",'Revenue - Data'!M11,IF($B$3="King",'Revenue - Data'!M23,IF($B$3="Superior King",'Revenue - Data'!M35,IF($B$3="Executive",'Revenue - Data'!M47,IF($B$3="One Club",'Revenue - Data'!M59,'Revenue - Data'!M71)))))</f>
        <v>0.25852272727272729</v>
      </c>
      <c r="C15" s="6">
        <f>IF($B$3="Club Deluxe",'Revenue - Data'!N11,IF($B$3="King",'Revenue - Data'!N23,IF($B$3="Superior King",'Revenue - Data'!N35,IF($B$3="Executive",'Revenue - Data'!N47,IF($B$3="One Club",'Revenue - Data'!N59,'Revenue - Data'!N71)))))</f>
        <v>3.7026515151515151E-2</v>
      </c>
      <c r="D15" s="6">
        <f>IF($B$3="Club Deluxe",'Revenue - Data'!O11,IF($B$3="King",'Revenue - Data'!O23,IF($B$3="Superior King",'Revenue - Data'!O35,IF($B$3="Executive",'Revenue - Data'!O47,IF($B$3="One Club",'Revenue - Data'!O59,'Revenue - Data'!O71)))))</f>
        <v>3.7109375E-2</v>
      </c>
      <c r="E15" s="7">
        <v>10</v>
      </c>
      <c r="J15" s="6">
        <v>0.9</v>
      </c>
    </row>
    <row r="16" spans="2:10" ht="15.5">
      <c r="B16" s="6">
        <f>IF($B$3="Club Deluxe",'Revenue - Data'!M12,IF($B$3="King",'Revenue - Data'!M24,IF($B$3="Superior King",'Revenue - Data'!M36,IF($B$3="Executive",'Revenue - Data'!M48,IF($B$3="One Club",'Revenue - Data'!M60,'Revenue - Data'!M72)))))</f>
        <v>0.22727272727272727</v>
      </c>
      <c r="C16" s="6">
        <f>IF($B$3="Club Deluxe",'Revenue - Data'!N12,IF($B$3="King",'Revenue - Data'!N24,IF($B$3="Superior King",'Revenue - Data'!N36,IF($B$3="Executive",'Revenue - Data'!N48,IF($B$3="One Club",'Revenue - Data'!N60,'Revenue - Data'!N72)))))</f>
        <v>3.928872053872054E-2</v>
      </c>
      <c r="D16" s="6">
        <f>IF($B$3="Club Deluxe",'Revenue - Data'!O12,IF($B$3="King",'Revenue - Data'!O24,IF($B$3="Superior King",'Revenue - Data'!O36,IF($B$3="Executive",'Revenue - Data'!O48,IF($B$3="One Club",'Revenue - Data'!O60,'Revenue - Data'!O72)))))</f>
        <v>3.8457491582491579E-2</v>
      </c>
      <c r="E16" s="7">
        <v>11</v>
      </c>
      <c r="J16" s="6">
        <v>0.9</v>
      </c>
    </row>
    <row r="17" spans="2:10" ht="15.5">
      <c r="B17" s="6">
        <f>IF($B$3="Club Deluxe",'Revenue - Data'!M13,IF($B$3="King",'Revenue - Data'!M25,IF($B$3="Superior King",'Revenue - Data'!M37,IF($B$3="Executive",'Revenue - Data'!M49,IF($B$3="One Club",'Revenue - Data'!M61,'Revenue - Data'!M73)))))</f>
        <v>0.18545454545454546</v>
      </c>
      <c r="C17" s="6">
        <f>IF($B$3="Club Deluxe",'Revenue - Data'!N13,IF($B$3="King",'Revenue - Data'!N25,IF($B$3="Superior King",'Revenue - Data'!N37,IF($B$3="Executive",'Revenue - Data'!N49,IF($B$3="One Club",'Revenue - Data'!N61,'Revenue - Data'!N73)))))</f>
        <v>3.6942148760330577E-2</v>
      </c>
      <c r="D17" s="6">
        <f>IF($B$3="Club Deluxe",'Revenue - Data'!O13,IF($B$3="King",'Revenue - Data'!O25,IF($B$3="Superior King",'Revenue - Data'!O37,IF($B$3="Executive",'Revenue - Data'!O49,IF($B$3="One Club",'Revenue - Data'!O61,'Revenue - Data'!O73)))))</f>
        <v>3.8223140495867766E-2</v>
      </c>
      <c r="E17" s="7">
        <v>12</v>
      </c>
      <c r="J17" s="6">
        <v>0.9</v>
      </c>
    </row>
    <row r="19" spans="2:10">
      <c r="B19" t="s">
        <v>34</v>
      </c>
      <c r="D19" t="s">
        <v>36</v>
      </c>
    </row>
    <row r="20" spans="2:10">
      <c r="B20" t="s">
        <v>106</v>
      </c>
      <c r="D20" t="s">
        <v>22</v>
      </c>
    </row>
    <row r="21" spans="2:10">
      <c r="B21" t="s">
        <v>107</v>
      </c>
      <c r="D21" t="s">
        <v>35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Validation!$B$3:$B$8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BFCE-6B72-4CE3-BC83-1F4D7ED9EB31}">
  <dimension ref="C4:D10"/>
  <sheetViews>
    <sheetView tabSelected="1" workbookViewId="0">
      <selection activeCell="D10" sqref="C4:D10"/>
    </sheetView>
  </sheetViews>
  <sheetFormatPr defaultRowHeight="14.5"/>
  <sheetData>
    <row r="4" spans="3:4">
      <c r="C4" t="s">
        <v>83</v>
      </c>
      <c r="D4" t="s">
        <v>33</v>
      </c>
    </row>
    <row r="5" spans="3:4">
      <c r="C5" t="s">
        <v>79</v>
      </c>
      <c r="D5">
        <v>100</v>
      </c>
    </row>
    <row r="6" spans="3:4">
      <c r="C6" t="s">
        <v>32</v>
      </c>
      <c r="D6">
        <v>90</v>
      </c>
    </row>
    <row r="7" spans="3:4">
      <c r="C7" t="s">
        <v>31</v>
      </c>
      <c r="D7">
        <v>80</v>
      </c>
    </row>
    <row r="8" spans="3:4">
      <c r="C8" t="s">
        <v>80</v>
      </c>
      <c r="D8">
        <v>70</v>
      </c>
    </row>
    <row r="9" spans="3:4">
      <c r="C9" t="s">
        <v>81</v>
      </c>
      <c r="D9">
        <v>60</v>
      </c>
    </row>
    <row r="10" spans="3:4">
      <c r="C10" t="s">
        <v>82</v>
      </c>
      <c r="D10">
        <v>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1081-7588-469A-AFDA-DD303C470471}">
  <dimension ref="B2:E22"/>
  <sheetViews>
    <sheetView workbookViewId="0">
      <selection activeCell="B3" sqref="B3:E3"/>
    </sheetView>
  </sheetViews>
  <sheetFormatPr defaultRowHeight="14.5"/>
  <cols>
    <col min="1" max="1" width="4.6328125" customWidth="1"/>
    <col min="2" max="4" width="21.1796875" customWidth="1"/>
    <col min="5" max="5" width="9.26953125" customWidth="1"/>
    <col min="7" max="7" width="17.7265625" customWidth="1"/>
  </cols>
  <sheetData>
    <row r="2" spans="2:5" ht="16" thickBot="1">
      <c r="B2" s="4" t="s">
        <v>4</v>
      </c>
      <c r="C2" s="5"/>
      <c r="D2" s="5"/>
      <c r="E2" s="5"/>
    </row>
    <row r="3" spans="2:5" ht="29" thickBot="1">
      <c r="B3" s="32" t="s">
        <v>22</v>
      </c>
      <c r="C3" s="33"/>
      <c r="D3" s="33"/>
      <c r="E3" s="34"/>
    </row>
    <row r="5" spans="2:5">
      <c r="B5" s="29" t="str">
        <f>IF($B$3="Club Deluxe",'Concerns dash data'!F2,IF($B$3="King",'Concerns dash data'!F26,IF($B$3="Superior King",'Concerns dash data'!F62,IF($B$3="Executive",'Concerns dash data'!F14,IF($B$3="One Club",'Concerns dash data'!F38,'Concerns dash data'!F50)))))</f>
        <v>#1 Temperature of their room</v>
      </c>
      <c r="C5" s="29" t="str">
        <f>IF($B$3="Club Deluxe",'Concerns dash data'!G2,IF($B$3="King",'Concerns dash data'!G26,IF($B$3="Superior King",'Concerns dash data'!G62,IF($B$3="Executive",'Concerns dash data'!G14,IF($B$3="One Club",'Concerns dash data'!G38,'Concerns dash data'!G50)))))</f>
        <v>#2 Noisy neighbors</v>
      </c>
      <c r="D5" s="29" t="str">
        <f>IF($B$3="Club Deluxe",'Concerns dash data'!H2,IF($B$3="King",'Concerns dash data'!H26,IF($B$3="Superior King",'Concerns dash data'!H62,IF($B$3="Executive",'Concerns dash data'!H14,IF($B$3="One Club",'Concerns dash data'!H38,'Concerns dash data'!H50)))))</f>
        <v>#3 Bad smells</v>
      </c>
      <c r="E5" s="30" t="s">
        <v>0</v>
      </c>
    </row>
    <row r="6" spans="2:5" ht="15.5">
      <c r="B6" s="28">
        <f>IF($B$3="Club Deluxe",'Concerns dash data'!I2,IF($B$3="King",'Concerns dash data'!I26,IF($B$3="Superior King",'Concerns dash data'!I62,IF($B$3="Executive",'Concerns dash data'!I14,IF($B$3="One Club",'Concerns dash data'!I38,'Concerns dash data'!I50)))))</f>
        <v>4</v>
      </c>
      <c r="C6" s="28">
        <f>IF($B$3="Club Deluxe",'Concerns dash data'!J2,IF($B$3="King",'Concerns dash data'!J26,IF($B$3="Superior King",'Concerns dash data'!J62,IF($B$3="Executive",'Concerns dash data'!J14,IF($B$3="One Club",'Concerns dash data'!J38,'Concerns dash data'!J50)))))</f>
        <v>17</v>
      </c>
      <c r="D6" s="28">
        <f>IF($B$3="Club Deluxe",'Concerns dash data'!K2,IF($B$3="King",'Concerns dash data'!K26,IF($B$3="Superior King",'Concerns dash data'!K62,IF($B$3="Executive",'Concerns dash data'!K14,IF($B$3="One Club",'Concerns dash data'!K38,'Concerns dash data'!K50)))))</f>
        <v>11</v>
      </c>
      <c r="E6" s="7">
        <v>1</v>
      </c>
    </row>
    <row r="7" spans="2:5" ht="15.5">
      <c r="B7" s="28">
        <f>IF($B$3="Club Deluxe",'Concerns dash data'!I3,IF($B$3="King",'Concerns dash data'!I27,IF($B$3="Superior King",'Concerns dash data'!I63,IF($B$3="Executive",'Concerns dash data'!I15,IF($B$3="One Club",'Concerns dash data'!I39,'Concerns dash data'!I51)))))</f>
        <v>2</v>
      </c>
      <c r="C7" s="28">
        <f>IF($B$3="Club Deluxe",'Concerns dash data'!J3,IF($B$3="King",'Concerns dash data'!J27,IF($B$3="Superior King",'Concerns dash data'!J63,IF($B$3="Executive",'Concerns dash data'!J15,IF($B$3="One Club",'Concerns dash data'!J39,'Concerns dash data'!J51)))))</f>
        <v>13</v>
      </c>
      <c r="D7" s="28">
        <f>IF($B$3="Club Deluxe",'Concerns dash data'!K3,IF($B$3="King",'Concerns dash data'!K27,IF($B$3="Superior King",'Concerns dash data'!K63,IF($B$3="Executive",'Concerns dash data'!K15,IF($B$3="One Club",'Concerns dash data'!K39,'Concerns dash data'!K51)))))</f>
        <v>8</v>
      </c>
      <c r="E7" s="7">
        <v>2</v>
      </c>
    </row>
    <row r="8" spans="2:5" ht="15.5">
      <c r="B8" s="28">
        <f>IF($B$3="Club Deluxe",'Concerns dash data'!I4,IF($B$3="King",'Concerns dash data'!I28,IF($B$3="Superior King",'Concerns dash data'!I64,IF($B$3="Executive",'Concerns dash data'!I16,IF($B$3="One Club",'Concerns dash data'!I40,'Concerns dash data'!I52)))))</f>
        <v>4</v>
      </c>
      <c r="C8" s="28">
        <f>IF($B$3="Club Deluxe",'Concerns dash data'!J4,IF($B$3="King",'Concerns dash data'!J28,IF($B$3="Superior King",'Concerns dash data'!J64,IF($B$3="Executive",'Concerns dash data'!J16,IF($B$3="One Club",'Concerns dash data'!J40,'Concerns dash data'!J52)))))</f>
        <v>14</v>
      </c>
      <c r="D8" s="28">
        <f>IF($B$3="Club Deluxe",'Concerns dash data'!K4,IF($B$3="King",'Concerns dash data'!K28,IF($B$3="Superior King",'Concerns dash data'!K64,IF($B$3="Executive",'Concerns dash data'!K16,IF($B$3="One Club",'Concerns dash data'!K40,'Concerns dash data'!K52)))))</f>
        <v>2</v>
      </c>
      <c r="E8" s="7">
        <v>3</v>
      </c>
    </row>
    <row r="9" spans="2:5" ht="15.5">
      <c r="B9" s="28">
        <f>IF($B$3="Club Deluxe",'Concerns dash data'!I5,IF($B$3="King",'Concerns dash data'!I29,IF($B$3="Superior King",'Concerns dash data'!I65,IF($B$3="Executive",'Concerns dash data'!I17,IF($B$3="One Club",'Concerns dash data'!I41,'Concerns dash data'!I53)))))</f>
        <v>2</v>
      </c>
      <c r="C9" s="28">
        <f>IF($B$3="Club Deluxe",'Concerns dash data'!J5,IF($B$3="King",'Concerns dash data'!J29,IF($B$3="Superior King",'Concerns dash data'!J65,IF($B$3="Executive",'Concerns dash data'!J17,IF($B$3="One Club",'Concerns dash data'!J41,'Concerns dash data'!J53)))))</f>
        <v>8</v>
      </c>
      <c r="D9" s="28">
        <f>IF($B$3="Club Deluxe",'Concerns dash data'!K5,IF($B$3="King",'Concerns dash data'!K29,IF($B$3="Superior King",'Concerns dash data'!K65,IF($B$3="Executive",'Concerns dash data'!K17,IF($B$3="One Club",'Concerns dash data'!K41,'Concerns dash data'!K53)))))</f>
        <v>3</v>
      </c>
      <c r="E9" s="7">
        <v>4</v>
      </c>
    </row>
    <row r="10" spans="2:5" ht="15.5">
      <c r="B10" s="28">
        <f>IF($B$3="Club Deluxe",'Concerns dash data'!I6,IF($B$3="King",'Concerns dash data'!I30,IF($B$3="Superior King",'Concerns dash data'!I66,IF($B$3="Executive",'Concerns dash data'!I18,IF($B$3="One Club",'Concerns dash data'!I42,'Concerns dash data'!I54)))))</f>
        <v>1</v>
      </c>
      <c r="C10" s="28">
        <f>IF($B$3="Club Deluxe",'Concerns dash data'!J6,IF($B$3="King",'Concerns dash data'!J30,IF($B$3="Superior King",'Concerns dash data'!J66,IF($B$3="Executive",'Concerns dash data'!J18,IF($B$3="One Club",'Concerns dash data'!J42,'Concerns dash data'!J54)))))</f>
        <v>3</v>
      </c>
      <c r="D10" s="28">
        <f>IF($B$3="Club Deluxe",'Concerns dash data'!K6,IF($B$3="King",'Concerns dash data'!K30,IF($B$3="Superior King",'Concerns dash data'!K66,IF($B$3="Executive",'Concerns dash data'!K18,IF($B$3="One Club",'Concerns dash data'!K42,'Concerns dash data'!K54)))))</f>
        <v>5</v>
      </c>
      <c r="E10" s="7">
        <v>5</v>
      </c>
    </row>
    <row r="11" spans="2:5" ht="15.5">
      <c r="B11" s="28">
        <f>IF($B$3="Club Deluxe",'Concerns dash data'!I7,IF($B$3="King",'Concerns dash data'!I31,IF($B$3="Superior King",'Concerns dash data'!I67,IF($B$3="Executive",'Concerns dash data'!I19,IF($B$3="One Club",'Concerns dash data'!I43,'Concerns dash data'!I55)))))</f>
        <v>2</v>
      </c>
      <c r="C11" s="28">
        <f>IF($B$3="Club Deluxe",'Concerns dash data'!J7,IF($B$3="King",'Concerns dash data'!J31,IF($B$3="Superior King",'Concerns dash data'!J67,IF($B$3="Executive",'Concerns dash data'!J19,IF($B$3="One Club",'Concerns dash data'!J43,'Concerns dash data'!J55)))))</f>
        <v>3</v>
      </c>
      <c r="D11" s="28">
        <f>IF($B$3="Club Deluxe",'Concerns dash data'!K7,IF($B$3="King",'Concerns dash data'!K31,IF($B$3="Superior King",'Concerns dash data'!K67,IF($B$3="Executive",'Concerns dash data'!K19,IF($B$3="One Club",'Concerns dash data'!K43,'Concerns dash data'!K55)))))</f>
        <v>2</v>
      </c>
      <c r="E11" s="7">
        <v>6</v>
      </c>
    </row>
    <row r="12" spans="2:5" ht="15.5">
      <c r="B12" s="28">
        <f>IF($B$3="Club Deluxe",'Concerns dash data'!I8,IF($B$3="King",'Concerns dash data'!I32,IF($B$3="Superior King",'Concerns dash data'!I68,IF($B$3="Executive",'Concerns dash data'!I20,IF($B$3="One Club",'Concerns dash data'!I44,'Concerns dash data'!I56)))))</f>
        <v>56</v>
      </c>
      <c r="C12" s="28">
        <f>IF($B$3="Club Deluxe",'Concerns dash data'!J8,IF($B$3="King",'Concerns dash data'!J32,IF($B$3="Superior King",'Concerns dash data'!J68,IF($B$3="Executive",'Concerns dash data'!J20,IF($B$3="One Club",'Concerns dash data'!J44,'Concerns dash data'!J56)))))</f>
        <v>6</v>
      </c>
      <c r="D12" s="28">
        <f>IF($B$3="Club Deluxe",'Concerns dash data'!K8,IF($B$3="King",'Concerns dash data'!K32,IF($B$3="Superior King",'Concerns dash data'!K68,IF($B$3="Executive",'Concerns dash data'!K20,IF($B$3="One Club",'Concerns dash data'!K44,'Concerns dash data'!K56)))))</f>
        <v>5</v>
      </c>
      <c r="E12" s="7">
        <v>7</v>
      </c>
    </row>
    <row r="13" spans="2:5" ht="15.5">
      <c r="B13" s="28">
        <f>IF($B$3="Club Deluxe",'Concerns dash data'!I9,IF($B$3="King",'Concerns dash data'!I33,IF($B$3="Superior King",'Concerns dash data'!I69,IF($B$3="Executive",'Concerns dash data'!I21,IF($B$3="One Club",'Concerns dash data'!I45,'Concerns dash data'!I57)))))</f>
        <v>71</v>
      </c>
      <c r="C13" s="28">
        <f>IF($B$3="Club Deluxe",'Concerns dash data'!J9,IF($B$3="King",'Concerns dash data'!J33,IF($B$3="Superior King",'Concerns dash data'!J69,IF($B$3="Executive",'Concerns dash data'!J21,IF($B$3="One Club",'Concerns dash data'!J45,'Concerns dash data'!J57)))))</f>
        <v>8</v>
      </c>
      <c r="D13" s="28">
        <f>IF($B$3="Club Deluxe",'Concerns dash data'!K9,IF($B$3="King",'Concerns dash data'!K33,IF($B$3="Superior King",'Concerns dash data'!K69,IF($B$3="Executive",'Concerns dash data'!K21,IF($B$3="One Club",'Concerns dash data'!K45,'Concerns dash data'!K57)))))</f>
        <v>2</v>
      </c>
      <c r="E13" s="7">
        <v>8</v>
      </c>
    </row>
    <row r="14" spans="2:5" ht="15.5">
      <c r="B14" s="28">
        <f>IF($B$3="Club Deluxe",'Concerns dash data'!I10,IF($B$3="King",'Concerns dash data'!I34,IF($B$3="Superior King",'Concerns dash data'!I70,IF($B$3="Executive",'Concerns dash data'!I22,IF($B$3="One Club",'Concerns dash data'!I46,'Concerns dash data'!I58)))))</f>
        <v>97</v>
      </c>
      <c r="C14" s="28">
        <f>IF($B$3="Club Deluxe",'Concerns dash data'!J10,IF($B$3="King",'Concerns dash data'!J34,IF($B$3="Superior King",'Concerns dash data'!J70,IF($B$3="Executive",'Concerns dash data'!J22,IF($B$3="One Club",'Concerns dash data'!J46,'Concerns dash data'!J58)))))</f>
        <v>8</v>
      </c>
      <c r="D14" s="28">
        <f>IF($B$3="Club Deluxe",'Concerns dash data'!K10,IF($B$3="King",'Concerns dash data'!K34,IF($B$3="Superior King",'Concerns dash data'!K70,IF($B$3="Executive",'Concerns dash data'!K22,IF($B$3="One Club",'Concerns dash data'!K46,'Concerns dash data'!K58)))))</f>
        <v>5</v>
      </c>
      <c r="E14" s="7">
        <v>9</v>
      </c>
    </row>
    <row r="15" spans="2:5" ht="15.5">
      <c r="B15" s="28">
        <f>IF($B$3="Club Deluxe",'Concerns dash data'!I11,IF($B$3="King",'Concerns dash data'!I35,IF($B$3="Superior King",'Concerns dash data'!I71,IF($B$3="Executive",'Concerns dash data'!I23,IF($B$3="One Club",'Concerns dash data'!I47,'Concerns dash data'!I59)))))</f>
        <v>50</v>
      </c>
      <c r="C15" s="28">
        <f>IF($B$3="Club Deluxe",'Concerns dash data'!J11,IF($B$3="King",'Concerns dash data'!J35,IF($B$3="Superior King",'Concerns dash data'!J71,IF($B$3="Executive",'Concerns dash data'!J23,IF($B$3="One Club",'Concerns dash data'!J47,'Concerns dash data'!J59)))))</f>
        <v>3</v>
      </c>
      <c r="D15" s="28">
        <f>IF($B$3="Club Deluxe",'Concerns dash data'!K11,IF($B$3="King",'Concerns dash data'!K35,IF($B$3="Superior King",'Concerns dash data'!K71,IF($B$3="Executive",'Concerns dash data'!K23,IF($B$3="One Club",'Concerns dash data'!K47,'Concerns dash data'!K59)))))</f>
        <v>0</v>
      </c>
      <c r="E15" s="7">
        <v>10</v>
      </c>
    </row>
    <row r="16" spans="2:5" ht="15.5">
      <c r="B16" s="28">
        <f>IF($B$3="Club Deluxe",'Concerns dash data'!I12,IF($B$3="King",'Concerns dash data'!I36,IF($B$3="Superior King",'Concerns dash data'!I72,IF($B$3="Executive",'Concerns dash data'!I24,IF($B$3="One Club",'Concerns dash data'!I48,'Concerns dash data'!I60)))))</f>
        <v>52</v>
      </c>
      <c r="C16" s="28">
        <f>IF($B$3="Club Deluxe",'Concerns dash data'!J12,IF($B$3="King",'Concerns dash data'!J36,IF($B$3="Superior King",'Concerns dash data'!J72,IF($B$3="Executive",'Concerns dash data'!J24,IF($B$3="One Club",'Concerns dash data'!J48,'Concerns dash data'!J60)))))</f>
        <v>5</v>
      </c>
      <c r="D16" s="28">
        <f>IF($B$3="Club Deluxe",'Concerns dash data'!K12,IF($B$3="King",'Concerns dash data'!K36,IF($B$3="Superior King",'Concerns dash data'!K72,IF($B$3="Executive",'Concerns dash data'!K24,IF($B$3="One Club",'Concerns dash data'!K48,'Concerns dash data'!K60)))))</f>
        <v>3</v>
      </c>
      <c r="E16" s="7">
        <v>11</v>
      </c>
    </row>
    <row r="17" spans="2:5" ht="15.5">
      <c r="B17" s="28">
        <f>IF($B$3="Club Deluxe",'Concerns dash data'!I13,IF($B$3="King",'Concerns dash data'!I37,IF($B$3="Superior King",'Concerns dash data'!I73,IF($B$3="Executive",'Concerns dash data'!I25,IF($B$3="One Club",'Concerns dash data'!I49,'Concerns dash data'!I61)))))</f>
        <v>54</v>
      </c>
      <c r="C17" s="28">
        <f>IF($B$3="Club Deluxe",'Concerns dash data'!J13,IF($B$3="King",'Concerns dash data'!J37,IF($B$3="Superior King",'Concerns dash data'!J73,IF($B$3="Executive",'Concerns dash data'!J25,IF($B$3="One Club",'Concerns dash data'!J49,'Concerns dash data'!J61)))))</f>
        <v>5</v>
      </c>
      <c r="D17" s="28">
        <f>IF($B$3="Club Deluxe",'Concerns dash data'!K13,IF($B$3="King",'Concerns dash data'!K37,IF($B$3="Superior King",'Concerns dash data'!K73,IF($B$3="Executive",'Concerns dash data'!K25,IF($B$3="One Club",'Concerns dash data'!K49,'Concerns dash data'!K61)))))</f>
        <v>1</v>
      </c>
      <c r="E17" s="7">
        <v>12</v>
      </c>
    </row>
    <row r="19" spans="2:5">
      <c r="B19" t="s">
        <v>34</v>
      </c>
      <c r="D19" t="s">
        <v>36</v>
      </c>
    </row>
    <row r="20" spans="2:5">
      <c r="B20" t="s">
        <v>106</v>
      </c>
      <c r="D20" t="s">
        <v>22</v>
      </c>
    </row>
    <row r="21" spans="2:5">
      <c r="B21" t="s">
        <v>107</v>
      </c>
      <c r="D21" t="s">
        <v>35</v>
      </c>
    </row>
    <row r="22" spans="2:5">
      <c r="B22" t="s">
        <v>108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A1212D-44AD-4199-B927-6CE5D9DD7CAF}">
          <x14:formula1>
            <xm:f>Validation!$B$3:$B$8</xm:f>
          </x14:formula1>
          <xm:sqref>B3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workbookViewId="0">
      <selection activeCell="M1" sqref="M1:O1048576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24D9-B7AF-4404-B87D-6D3347D4D37D}">
  <dimension ref="A1:K73"/>
  <sheetViews>
    <sheetView topLeftCell="A13" workbookViewId="0">
      <selection activeCell="D20" sqref="D20"/>
    </sheetView>
  </sheetViews>
  <sheetFormatPr defaultRowHeight="14.5"/>
  <cols>
    <col min="1" max="8" width="21.81640625" customWidth="1"/>
  </cols>
  <sheetData>
    <row r="1" spans="1:11">
      <c r="A1" s="27" t="s">
        <v>84</v>
      </c>
      <c r="B1" s="27" t="s">
        <v>0</v>
      </c>
      <c r="C1" s="27" t="s">
        <v>97</v>
      </c>
      <c r="D1" s="27" t="s">
        <v>98</v>
      </c>
      <c r="E1" s="27" t="s">
        <v>99</v>
      </c>
      <c r="F1" s="31" t="s">
        <v>103</v>
      </c>
      <c r="G1" s="31" t="s">
        <v>104</v>
      </c>
      <c r="H1" s="31" t="s">
        <v>105</v>
      </c>
      <c r="I1" t="s">
        <v>100</v>
      </c>
      <c r="J1" t="s">
        <v>101</v>
      </c>
      <c r="K1" t="s">
        <v>102</v>
      </c>
    </row>
    <row r="2" spans="1:11">
      <c r="A2" t="s">
        <v>59</v>
      </c>
      <c r="B2">
        <v>1</v>
      </c>
      <c r="C2" t="s">
        <v>86</v>
      </c>
      <c r="D2" t="s">
        <v>85</v>
      </c>
      <c r="E2" t="s">
        <v>87</v>
      </c>
      <c r="F2" t="str">
        <f>"#1 "&amp;C2</f>
        <v>#1 Faulty electronics</v>
      </c>
      <c r="G2" t="str">
        <f>"#2 "&amp;D2</f>
        <v>#2 Doesn’t match the website/brochure</v>
      </c>
      <c r="H2" t="str">
        <f>"#3 "&amp;E2</f>
        <v>#3 Low-quality food</v>
      </c>
      <c r="I2">
        <v>5</v>
      </c>
      <c r="J2">
        <v>4</v>
      </c>
      <c r="K2">
        <v>13</v>
      </c>
    </row>
    <row r="3" spans="1:11">
      <c r="A3" t="s">
        <v>59</v>
      </c>
      <c r="B3">
        <v>2</v>
      </c>
      <c r="C3" t="s">
        <v>86</v>
      </c>
      <c r="D3" t="s">
        <v>85</v>
      </c>
      <c r="E3" t="s">
        <v>87</v>
      </c>
      <c r="F3" t="str">
        <f t="shared" ref="F3:F66" si="0">"#1 "&amp;C3</f>
        <v>#1 Faulty electronics</v>
      </c>
      <c r="G3" t="str">
        <f t="shared" ref="G3:G66" si="1">"#2 "&amp;D3</f>
        <v>#2 Doesn’t match the website/brochure</v>
      </c>
      <c r="H3" t="str">
        <f t="shared" ref="H3:H66" si="2">"#3 "&amp;E3</f>
        <v>#3 Low-quality food</v>
      </c>
      <c r="I3">
        <v>4</v>
      </c>
      <c r="J3">
        <v>5</v>
      </c>
      <c r="K3">
        <v>13</v>
      </c>
    </row>
    <row r="4" spans="1:11">
      <c r="A4" t="s">
        <v>59</v>
      </c>
      <c r="B4">
        <v>3</v>
      </c>
      <c r="C4" t="s">
        <v>86</v>
      </c>
      <c r="D4" t="s">
        <v>85</v>
      </c>
      <c r="E4" t="s">
        <v>87</v>
      </c>
      <c r="F4" t="str">
        <f t="shared" si="0"/>
        <v>#1 Faulty electronics</v>
      </c>
      <c r="G4" t="str">
        <f t="shared" si="1"/>
        <v>#2 Doesn’t match the website/brochure</v>
      </c>
      <c r="H4" t="str">
        <f t="shared" si="2"/>
        <v>#3 Low-quality food</v>
      </c>
      <c r="I4">
        <v>9</v>
      </c>
      <c r="J4">
        <v>5</v>
      </c>
      <c r="K4">
        <v>12</v>
      </c>
    </row>
    <row r="5" spans="1:11">
      <c r="A5" t="s">
        <v>59</v>
      </c>
      <c r="B5">
        <v>4</v>
      </c>
      <c r="C5" t="s">
        <v>86</v>
      </c>
      <c r="D5" t="s">
        <v>85</v>
      </c>
      <c r="E5" t="s">
        <v>87</v>
      </c>
      <c r="F5" t="str">
        <f t="shared" si="0"/>
        <v>#1 Faulty electronics</v>
      </c>
      <c r="G5" t="str">
        <f t="shared" si="1"/>
        <v>#2 Doesn’t match the website/brochure</v>
      </c>
      <c r="H5" t="str">
        <f t="shared" si="2"/>
        <v>#3 Low-quality food</v>
      </c>
      <c r="I5">
        <v>7</v>
      </c>
      <c r="J5">
        <v>5</v>
      </c>
      <c r="K5">
        <v>5</v>
      </c>
    </row>
    <row r="6" spans="1:11">
      <c r="A6" t="s">
        <v>59</v>
      </c>
      <c r="B6">
        <v>5</v>
      </c>
      <c r="C6" t="s">
        <v>86</v>
      </c>
      <c r="D6" t="s">
        <v>85</v>
      </c>
      <c r="E6" t="s">
        <v>87</v>
      </c>
      <c r="F6" t="str">
        <f t="shared" si="0"/>
        <v>#1 Faulty electronics</v>
      </c>
      <c r="G6" t="str">
        <f t="shared" si="1"/>
        <v>#2 Doesn’t match the website/brochure</v>
      </c>
      <c r="H6" t="str">
        <f t="shared" si="2"/>
        <v>#3 Low-quality food</v>
      </c>
      <c r="I6">
        <v>4</v>
      </c>
      <c r="J6">
        <v>5</v>
      </c>
      <c r="K6">
        <v>2</v>
      </c>
    </row>
    <row r="7" spans="1:11">
      <c r="A7" t="s">
        <v>59</v>
      </c>
      <c r="B7">
        <v>6</v>
      </c>
      <c r="C7" t="s">
        <v>86</v>
      </c>
      <c r="D7" t="s">
        <v>85</v>
      </c>
      <c r="E7" t="s">
        <v>87</v>
      </c>
      <c r="F7" t="str">
        <f t="shared" si="0"/>
        <v>#1 Faulty electronics</v>
      </c>
      <c r="G7" t="str">
        <f t="shared" si="1"/>
        <v>#2 Doesn’t match the website/brochure</v>
      </c>
      <c r="H7" t="str">
        <f t="shared" si="2"/>
        <v>#3 Low-quality food</v>
      </c>
      <c r="I7">
        <v>5</v>
      </c>
      <c r="J7">
        <v>2</v>
      </c>
      <c r="K7">
        <v>2</v>
      </c>
    </row>
    <row r="8" spans="1:11">
      <c r="A8" t="s">
        <v>59</v>
      </c>
      <c r="B8">
        <v>7</v>
      </c>
      <c r="C8" t="s">
        <v>86</v>
      </c>
      <c r="D8" t="s">
        <v>85</v>
      </c>
      <c r="E8" t="s">
        <v>87</v>
      </c>
      <c r="F8" t="str">
        <f t="shared" si="0"/>
        <v>#1 Faulty electronics</v>
      </c>
      <c r="G8" t="str">
        <f t="shared" si="1"/>
        <v>#2 Doesn’t match the website/brochure</v>
      </c>
      <c r="H8" t="str">
        <f t="shared" si="2"/>
        <v>#3 Low-quality food</v>
      </c>
      <c r="I8">
        <v>4</v>
      </c>
      <c r="J8">
        <v>7</v>
      </c>
      <c r="K8">
        <v>0</v>
      </c>
    </row>
    <row r="9" spans="1:11">
      <c r="A9" t="s">
        <v>59</v>
      </c>
      <c r="B9">
        <v>8</v>
      </c>
      <c r="C9" t="s">
        <v>86</v>
      </c>
      <c r="D9" t="s">
        <v>85</v>
      </c>
      <c r="E9" t="s">
        <v>87</v>
      </c>
      <c r="F9" t="str">
        <f t="shared" si="0"/>
        <v>#1 Faulty electronics</v>
      </c>
      <c r="G9" t="str">
        <f t="shared" si="1"/>
        <v>#2 Doesn’t match the website/brochure</v>
      </c>
      <c r="H9" t="str">
        <f t="shared" si="2"/>
        <v>#3 Low-quality food</v>
      </c>
      <c r="I9">
        <v>4</v>
      </c>
      <c r="J9">
        <v>3</v>
      </c>
      <c r="K9">
        <v>3</v>
      </c>
    </row>
    <row r="10" spans="1:11">
      <c r="A10" t="s">
        <v>59</v>
      </c>
      <c r="B10">
        <v>9</v>
      </c>
      <c r="C10" t="s">
        <v>86</v>
      </c>
      <c r="D10" t="s">
        <v>85</v>
      </c>
      <c r="E10" t="s">
        <v>87</v>
      </c>
      <c r="F10" t="str">
        <f t="shared" si="0"/>
        <v>#1 Faulty electronics</v>
      </c>
      <c r="G10" t="str">
        <f t="shared" si="1"/>
        <v>#2 Doesn’t match the website/brochure</v>
      </c>
      <c r="H10" t="str">
        <f t="shared" si="2"/>
        <v>#3 Low-quality food</v>
      </c>
      <c r="I10">
        <v>7</v>
      </c>
      <c r="J10">
        <v>4</v>
      </c>
      <c r="K10">
        <v>1</v>
      </c>
    </row>
    <row r="11" spans="1:11">
      <c r="A11" t="s">
        <v>59</v>
      </c>
      <c r="B11">
        <v>10</v>
      </c>
      <c r="C11" t="s">
        <v>86</v>
      </c>
      <c r="D11" t="s">
        <v>85</v>
      </c>
      <c r="E11" t="s">
        <v>87</v>
      </c>
      <c r="F11" t="str">
        <f t="shared" si="0"/>
        <v>#1 Faulty electronics</v>
      </c>
      <c r="G11" t="str">
        <f t="shared" si="1"/>
        <v>#2 Doesn’t match the website/brochure</v>
      </c>
      <c r="H11" t="str">
        <f t="shared" si="2"/>
        <v>#3 Low-quality food</v>
      </c>
      <c r="I11">
        <v>3</v>
      </c>
      <c r="J11">
        <v>6</v>
      </c>
      <c r="K11">
        <v>0</v>
      </c>
    </row>
    <row r="12" spans="1:11">
      <c r="A12" t="s">
        <v>59</v>
      </c>
      <c r="B12">
        <v>11</v>
      </c>
      <c r="C12" t="s">
        <v>86</v>
      </c>
      <c r="D12" t="s">
        <v>85</v>
      </c>
      <c r="E12" t="s">
        <v>87</v>
      </c>
      <c r="F12" t="str">
        <f t="shared" si="0"/>
        <v>#1 Faulty electronics</v>
      </c>
      <c r="G12" t="str">
        <f t="shared" si="1"/>
        <v>#2 Doesn’t match the website/brochure</v>
      </c>
      <c r="H12" t="str">
        <f t="shared" si="2"/>
        <v>#3 Low-quality food</v>
      </c>
      <c r="I12">
        <v>3</v>
      </c>
      <c r="J12">
        <v>2</v>
      </c>
      <c r="K12">
        <v>1</v>
      </c>
    </row>
    <row r="13" spans="1:11">
      <c r="A13" t="s">
        <v>59</v>
      </c>
      <c r="B13">
        <v>12</v>
      </c>
      <c r="C13" t="s">
        <v>86</v>
      </c>
      <c r="D13" t="s">
        <v>85</v>
      </c>
      <c r="E13" t="s">
        <v>87</v>
      </c>
      <c r="F13" t="str">
        <f t="shared" si="0"/>
        <v>#1 Faulty electronics</v>
      </c>
      <c r="G13" t="str">
        <f t="shared" si="1"/>
        <v>#2 Doesn’t match the website/brochure</v>
      </c>
      <c r="H13" t="str">
        <f t="shared" si="2"/>
        <v>#3 Low-quality food</v>
      </c>
      <c r="I13">
        <v>0</v>
      </c>
      <c r="J13">
        <v>5</v>
      </c>
      <c r="K13">
        <v>1</v>
      </c>
    </row>
    <row r="14" spans="1:11">
      <c r="A14" t="s">
        <v>67</v>
      </c>
      <c r="B14">
        <v>1</v>
      </c>
      <c r="C14" t="s">
        <v>85</v>
      </c>
      <c r="D14" t="s">
        <v>88</v>
      </c>
      <c r="E14" t="s">
        <v>86</v>
      </c>
      <c r="F14" t="str">
        <f t="shared" si="0"/>
        <v>#1 Doesn’t match the website/brochure</v>
      </c>
      <c r="G14" t="str">
        <f t="shared" si="1"/>
        <v>#2 Noisy neighbors</v>
      </c>
      <c r="H14" t="str">
        <f t="shared" si="2"/>
        <v>#3 Faulty electronics</v>
      </c>
      <c r="I14">
        <v>6</v>
      </c>
      <c r="J14">
        <v>5</v>
      </c>
      <c r="K14">
        <v>6</v>
      </c>
    </row>
    <row r="15" spans="1:11">
      <c r="A15" t="s">
        <v>67</v>
      </c>
      <c r="B15">
        <v>2</v>
      </c>
      <c r="C15" t="s">
        <v>85</v>
      </c>
      <c r="D15" t="s">
        <v>88</v>
      </c>
      <c r="E15" t="s">
        <v>86</v>
      </c>
      <c r="F15" t="str">
        <f t="shared" si="0"/>
        <v>#1 Doesn’t match the website/brochure</v>
      </c>
      <c r="G15" t="str">
        <f t="shared" si="1"/>
        <v>#2 Noisy neighbors</v>
      </c>
      <c r="H15" t="str">
        <f t="shared" si="2"/>
        <v>#3 Faulty electronics</v>
      </c>
      <c r="I15">
        <v>3</v>
      </c>
      <c r="J15">
        <v>7</v>
      </c>
      <c r="K15">
        <v>1</v>
      </c>
    </row>
    <row r="16" spans="1:11">
      <c r="A16" t="s">
        <v>67</v>
      </c>
      <c r="B16">
        <v>3</v>
      </c>
      <c r="C16" t="s">
        <v>85</v>
      </c>
      <c r="D16" t="s">
        <v>88</v>
      </c>
      <c r="E16" t="s">
        <v>86</v>
      </c>
      <c r="F16" t="str">
        <f t="shared" si="0"/>
        <v>#1 Doesn’t match the website/brochure</v>
      </c>
      <c r="G16" t="str">
        <f t="shared" si="1"/>
        <v>#2 Noisy neighbors</v>
      </c>
      <c r="H16" t="str">
        <f t="shared" si="2"/>
        <v>#3 Faulty electronics</v>
      </c>
      <c r="I16">
        <v>5</v>
      </c>
      <c r="J16">
        <v>3</v>
      </c>
      <c r="K16">
        <v>10</v>
      </c>
    </row>
    <row r="17" spans="1:11">
      <c r="A17" t="s">
        <v>67</v>
      </c>
      <c r="B17">
        <v>4</v>
      </c>
      <c r="C17" t="s">
        <v>85</v>
      </c>
      <c r="D17" t="s">
        <v>88</v>
      </c>
      <c r="E17" t="s">
        <v>86</v>
      </c>
      <c r="F17" t="str">
        <f t="shared" si="0"/>
        <v>#1 Doesn’t match the website/brochure</v>
      </c>
      <c r="G17" t="str">
        <f t="shared" si="1"/>
        <v>#2 Noisy neighbors</v>
      </c>
      <c r="H17" t="str">
        <f t="shared" si="2"/>
        <v>#3 Faulty electronics</v>
      </c>
      <c r="I17">
        <v>6</v>
      </c>
      <c r="J17">
        <v>5</v>
      </c>
      <c r="K17">
        <v>3</v>
      </c>
    </row>
    <row r="18" spans="1:11">
      <c r="A18" t="s">
        <v>67</v>
      </c>
      <c r="B18">
        <v>5</v>
      </c>
      <c r="C18" t="s">
        <v>85</v>
      </c>
      <c r="D18" t="s">
        <v>88</v>
      </c>
      <c r="E18" t="s">
        <v>86</v>
      </c>
      <c r="F18" t="str">
        <f t="shared" si="0"/>
        <v>#1 Doesn’t match the website/brochure</v>
      </c>
      <c r="G18" t="str">
        <f t="shared" si="1"/>
        <v>#2 Noisy neighbors</v>
      </c>
      <c r="H18" t="str">
        <f t="shared" si="2"/>
        <v>#3 Faulty electronics</v>
      </c>
      <c r="I18">
        <v>7</v>
      </c>
      <c r="J18">
        <v>6</v>
      </c>
      <c r="K18">
        <v>2</v>
      </c>
    </row>
    <row r="19" spans="1:11">
      <c r="A19" t="s">
        <v>67</v>
      </c>
      <c r="B19">
        <v>6</v>
      </c>
      <c r="C19" t="s">
        <v>85</v>
      </c>
      <c r="D19" t="s">
        <v>88</v>
      </c>
      <c r="E19" t="s">
        <v>86</v>
      </c>
      <c r="F19" t="str">
        <f t="shared" si="0"/>
        <v>#1 Doesn’t match the website/brochure</v>
      </c>
      <c r="G19" t="str">
        <f t="shared" si="1"/>
        <v>#2 Noisy neighbors</v>
      </c>
      <c r="H19" t="str">
        <f t="shared" si="2"/>
        <v>#3 Faulty electronics</v>
      </c>
      <c r="I19">
        <v>2</v>
      </c>
      <c r="J19">
        <v>1</v>
      </c>
      <c r="K19">
        <v>3</v>
      </c>
    </row>
    <row r="20" spans="1:11">
      <c r="A20" t="s">
        <v>67</v>
      </c>
      <c r="B20">
        <v>7</v>
      </c>
      <c r="C20" t="s">
        <v>85</v>
      </c>
      <c r="D20" t="s">
        <v>88</v>
      </c>
      <c r="E20" t="s">
        <v>86</v>
      </c>
      <c r="F20" t="str">
        <f t="shared" si="0"/>
        <v>#1 Doesn’t match the website/brochure</v>
      </c>
      <c r="G20" t="str">
        <f t="shared" si="1"/>
        <v>#2 Noisy neighbors</v>
      </c>
      <c r="H20" t="str">
        <f t="shared" si="2"/>
        <v>#3 Faulty electronics</v>
      </c>
      <c r="I20">
        <v>6</v>
      </c>
      <c r="J20">
        <v>0</v>
      </c>
      <c r="K20">
        <v>2</v>
      </c>
    </row>
    <row r="21" spans="1:11">
      <c r="A21" t="s">
        <v>67</v>
      </c>
      <c r="B21">
        <v>8</v>
      </c>
      <c r="C21" t="s">
        <v>85</v>
      </c>
      <c r="D21" t="s">
        <v>88</v>
      </c>
      <c r="E21" t="s">
        <v>86</v>
      </c>
      <c r="F21" t="str">
        <f t="shared" si="0"/>
        <v>#1 Doesn’t match the website/brochure</v>
      </c>
      <c r="G21" t="str">
        <f t="shared" si="1"/>
        <v>#2 Noisy neighbors</v>
      </c>
      <c r="H21" t="str">
        <f t="shared" si="2"/>
        <v>#3 Faulty electronics</v>
      </c>
      <c r="I21">
        <v>3</v>
      </c>
      <c r="J21">
        <v>4</v>
      </c>
      <c r="K21">
        <v>5</v>
      </c>
    </row>
    <row r="22" spans="1:11">
      <c r="A22" t="s">
        <v>67</v>
      </c>
      <c r="B22">
        <v>9</v>
      </c>
      <c r="C22" t="s">
        <v>85</v>
      </c>
      <c r="D22" t="s">
        <v>88</v>
      </c>
      <c r="E22" t="s">
        <v>86</v>
      </c>
      <c r="F22" t="str">
        <f t="shared" si="0"/>
        <v>#1 Doesn’t match the website/brochure</v>
      </c>
      <c r="G22" t="str">
        <f t="shared" si="1"/>
        <v>#2 Noisy neighbors</v>
      </c>
      <c r="H22" t="str">
        <f t="shared" si="2"/>
        <v>#3 Faulty electronics</v>
      </c>
      <c r="I22">
        <v>1</v>
      </c>
      <c r="J22">
        <v>3</v>
      </c>
      <c r="K22">
        <v>1</v>
      </c>
    </row>
    <row r="23" spans="1:11">
      <c r="A23" t="s">
        <v>67</v>
      </c>
      <c r="B23">
        <v>10</v>
      </c>
      <c r="C23" t="s">
        <v>85</v>
      </c>
      <c r="D23" t="s">
        <v>88</v>
      </c>
      <c r="E23" t="s">
        <v>86</v>
      </c>
      <c r="F23" t="str">
        <f t="shared" si="0"/>
        <v>#1 Doesn’t match the website/brochure</v>
      </c>
      <c r="G23" t="str">
        <f t="shared" si="1"/>
        <v>#2 Noisy neighbors</v>
      </c>
      <c r="H23" t="str">
        <f t="shared" si="2"/>
        <v>#3 Faulty electronics</v>
      </c>
      <c r="I23">
        <v>4</v>
      </c>
      <c r="J23">
        <v>4</v>
      </c>
      <c r="K23">
        <v>4</v>
      </c>
    </row>
    <row r="24" spans="1:11">
      <c r="A24" t="s">
        <v>67</v>
      </c>
      <c r="B24">
        <v>11</v>
      </c>
      <c r="C24" t="s">
        <v>85</v>
      </c>
      <c r="D24" t="s">
        <v>88</v>
      </c>
      <c r="E24" t="s">
        <v>86</v>
      </c>
      <c r="F24" t="str">
        <f t="shared" si="0"/>
        <v>#1 Doesn’t match the website/brochure</v>
      </c>
      <c r="G24" t="str">
        <f t="shared" si="1"/>
        <v>#2 Noisy neighbors</v>
      </c>
      <c r="H24" t="str">
        <f t="shared" si="2"/>
        <v>#3 Faulty electronics</v>
      </c>
      <c r="I24">
        <v>1</v>
      </c>
      <c r="J24">
        <v>5</v>
      </c>
      <c r="K24">
        <v>1</v>
      </c>
    </row>
    <row r="25" spans="1:11">
      <c r="A25" t="s">
        <v>67</v>
      </c>
      <c r="B25">
        <v>12</v>
      </c>
      <c r="C25" t="s">
        <v>85</v>
      </c>
      <c r="D25" t="s">
        <v>88</v>
      </c>
      <c r="E25" t="s">
        <v>86</v>
      </c>
      <c r="F25" t="str">
        <f t="shared" si="0"/>
        <v>#1 Doesn’t match the website/brochure</v>
      </c>
      <c r="G25" t="str">
        <f t="shared" si="1"/>
        <v>#2 Noisy neighbors</v>
      </c>
      <c r="H25" t="str">
        <f t="shared" si="2"/>
        <v>#3 Faulty electronics</v>
      </c>
      <c r="I25">
        <v>3</v>
      </c>
      <c r="J25">
        <v>2</v>
      </c>
      <c r="K25">
        <v>6</v>
      </c>
    </row>
    <row r="26" spans="1:11">
      <c r="A26" t="s">
        <v>68</v>
      </c>
      <c r="B26">
        <v>1</v>
      </c>
      <c r="C26" t="s">
        <v>94</v>
      </c>
      <c r="D26" t="s">
        <v>88</v>
      </c>
      <c r="E26" t="s">
        <v>92</v>
      </c>
      <c r="F26" t="str">
        <f t="shared" si="0"/>
        <v>#1 Temperature of their room</v>
      </c>
      <c r="G26" t="str">
        <f t="shared" si="1"/>
        <v>#2 Noisy neighbors</v>
      </c>
      <c r="H26" t="str">
        <f t="shared" si="2"/>
        <v>#3 Bad smells</v>
      </c>
      <c r="I26">
        <v>4</v>
      </c>
      <c r="J26">
        <v>17</v>
      </c>
      <c r="K26">
        <v>11</v>
      </c>
    </row>
    <row r="27" spans="1:11">
      <c r="A27" t="s">
        <v>68</v>
      </c>
      <c r="B27">
        <v>2</v>
      </c>
      <c r="C27" t="s">
        <v>94</v>
      </c>
      <c r="D27" t="s">
        <v>88</v>
      </c>
      <c r="E27" t="s">
        <v>92</v>
      </c>
      <c r="F27" t="str">
        <f t="shared" si="0"/>
        <v>#1 Temperature of their room</v>
      </c>
      <c r="G27" t="str">
        <f t="shared" si="1"/>
        <v>#2 Noisy neighbors</v>
      </c>
      <c r="H27" t="str">
        <f t="shared" si="2"/>
        <v>#3 Bad smells</v>
      </c>
      <c r="I27">
        <v>2</v>
      </c>
      <c r="J27">
        <v>13</v>
      </c>
      <c r="K27">
        <v>8</v>
      </c>
    </row>
    <row r="28" spans="1:11">
      <c r="A28" t="s">
        <v>68</v>
      </c>
      <c r="B28">
        <v>3</v>
      </c>
      <c r="C28" t="s">
        <v>94</v>
      </c>
      <c r="D28" t="s">
        <v>88</v>
      </c>
      <c r="E28" t="s">
        <v>92</v>
      </c>
      <c r="F28" t="str">
        <f t="shared" si="0"/>
        <v>#1 Temperature of their room</v>
      </c>
      <c r="G28" t="str">
        <f t="shared" si="1"/>
        <v>#2 Noisy neighbors</v>
      </c>
      <c r="H28" t="str">
        <f t="shared" si="2"/>
        <v>#3 Bad smells</v>
      </c>
      <c r="I28">
        <v>4</v>
      </c>
      <c r="J28">
        <v>14</v>
      </c>
      <c r="K28">
        <v>2</v>
      </c>
    </row>
    <row r="29" spans="1:11">
      <c r="A29" t="s">
        <v>68</v>
      </c>
      <c r="B29">
        <v>4</v>
      </c>
      <c r="C29" t="s">
        <v>94</v>
      </c>
      <c r="D29" t="s">
        <v>88</v>
      </c>
      <c r="E29" t="s">
        <v>92</v>
      </c>
      <c r="F29" t="str">
        <f t="shared" si="0"/>
        <v>#1 Temperature of their room</v>
      </c>
      <c r="G29" t="str">
        <f t="shared" si="1"/>
        <v>#2 Noisy neighbors</v>
      </c>
      <c r="H29" t="str">
        <f t="shared" si="2"/>
        <v>#3 Bad smells</v>
      </c>
      <c r="I29">
        <v>2</v>
      </c>
      <c r="J29">
        <v>8</v>
      </c>
      <c r="K29">
        <v>3</v>
      </c>
    </row>
    <row r="30" spans="1:11">
      <c r="A30" t="s">
        <v>68</v>
      </c>
      <c r="B30">
        <v>5</v>
      </c>
      <c r="C30" t="s">
        <v>94</v>
      </c>
      <c r="D30" t="s">
        <v>88</v>
      </c>
      <c r="E30" t="s">
        <v>92</v>
      </c>
      <c r="F30" t="str">
        <f t="shared" si="0"/>
        <v>#1 Temperature of their room</v>
      </c>
      <c r="G30" t="str">
        <f t="shared" si="1"/>
        <v>#2 Noisy neighbors</v>
      </c>
      <c r="H30" t="str">
        <f t="shared" si="2"/>
        <v>#3 Bad smells</v>
      </c>
      <c r="I30">
        <v>1</v>
      </c>
      <c r="J30">
        <v>3</v>
      </c>
      <c r="K30">
        <v>5</v>
      </c>
    </row>
    <row r="31" spans="1:11">
      <c r="A31" t="s">
        <v>68</v>
      </c>
      <c r="B31">
        <v>6</v>
      </c>
      <c r="C31" t="s">
        <v>94</v>
      </c>
      <c r="D31" t="s">
        <v>88</v>
      </c>
      <c r="E31" t="s">
        <v>92</v>
      </c>
      <c r="F31" t="str">
        <f t="shared" si="0"/>
        <v>#1 Temperature of their room</v>
      </c>
      <c r="G31" t="str">
        <f t="shared" si="1"/>
        <v>#2 Noisy neighbors</v>
      </c>
      <c r="H31" t="str">
        <f t="shared" si="2"/>
        <v>#3 Bad smells</v>
      </c>
      <c r="I31">
        <v>2</v>
      </c>
      <c r="J31">
        <v>3</v>
      </c>
      <c r="K31">
        <v>2</v>
      </c>
    </row>
    <row r="32" spans="1:11">
      <c r="A32" t="s">
        <v>68</v>
      </c>
      <c r="B32">
        <v>7</v>
      </c>
      <c r="C32" t="s">
        <v>94</v>
      </c>
      <c r="D32" t="s">
        <v>88</v>
      </c>
      <c r="E32" t="s">
        <v>92</v>
      </c>
      <c r="F32" t="str">
        <f t="shared" si="0"/>
        <v>#1 Temperature of their room</v>
      </c>
      <c r="G32" t="str">
        <f t="shared" si="1"/>
        <v>#2 Noisy neighbors</v>
      </c>
      <c r="H32" t="str">
        <f t="shared" si="2"/>
        <v>#3 Bad smells</v>
      </c>
      <c r="I32">
        <v>56</v>
      </c>
      <c r="J32">
        <v>6</v>
      </c>
      <c r="K32">
        <v>5</v>
      </c>
    </row>
    <row r="33" spans="1:11">
      <c r="A33" t="s">
        <v>68</v>
      </c>
      <c r="B33">
        <v>8</v>
      </c>
      <c r="C33" t="s">
        <v>94</v>
      </c>
      <c r="D33" t="s">
        <v>88</v>
      </c>
      <c r="E33" t="s">
        <v>92</v>
      </c>
      <c r="F33" t="str">
        <f t="shared" si="0"/>
        <v>#1 Temperature of their room</v>
      </c>
      <c r="G33" t="str">
        <f t="shared" si="1"/>
        <v>#2 Noisy neighbors</v>
      </c>
      <c r="H33" t="str">
        <f t="shared" si="2"/>
        <v>#3 Bad smells</v>
      </c>
      <c r="I33">
        <v>71</v>
      </c>
      <c r="J33">
        <v>8</v>
      </c>
      <c r="K33">
        <v>2</v>
      </c>
    </row>
    <row r="34" spans="1:11">
      <c r="A34" t="s">
        <v>68</v>
      </c>
      <c r="B34">
        <v>9</v>
      </c>
      <c r="C34" t="s">
        <v>94</v>
      </c>
      <c r="D34" t="s">
        <v>88</v>
      </c>
      <c r="E34" t="s">
        <v>92</v>
      </c>
      <c r="F34" t="str">
        <f t="shared" si="0"/>
        <v>#1 Temperature of their room</v>
      </c>
      <c r="G34" t="str">
        <f t="shared" si="1"/>
        <v>#2 Noisy neighbors</v>
      </c>
      <c r="H34" t="str">
        <f t="shared" si="2"/>
        <v>#3 Bad smells</v>
      </c>
      <c r="I34">
        <v>97</v>
      </c>
      <c r="J34">
        <v>8</v>
      </c>
      <c r="K34">
        <v>5</v>
      </c>
    </row>
    <row r="35" spans="1:11">
      <c r="A35" t="s">
        <v>68</v>
      </c>
      <c r="B35">
        <v>10</v>
      </c>
      <c r="C35" t="s">
        <v>94</v>
      </c>
      <c r="D35" t="s">
        <v>88</v>
      </c>
      <c r="E35" t="s">
        <v>92</v>
      </c>
      <c r="F35" t="str">
        <f t="shared" si="0"/>
        <v>#1 Temperature of their room</v>
      </c>
      <c r="G35" t="str">
        <f t="shared" si="1"/>
        <v>#2 Noisy neighbors</v>
      </c>
      <c r="H35" t="str">
        <f t="shared" si="2"/>
        <v>#3 Bad smells</v>
      </c>
      <c r="I35">
        <v>50</v>
      </c>
      <c r="J35">
        <v>3</v>
      </c>
      <c r="K35">
        <v>0</v>
      </c>
    </row>
    <row r="36" spans="1:11">
      <c r="A36" t="s">
        <v>68</v>
      </c>
      <c r="B36">
        <v>11</v>
      </c>
      <c r="C36" t="s">
        <v>94</v>
      </c>
      <c r="D36" t="s">
        <v>88</v>
      </c>
      <c r="E36" t="s">
        <v>92</v>
      </c>
      <c r="F36" t="str">
        <f t="shared" si="0"/>
        <v>#1 Temperature of their room</v>
      </c>
      <c r="G36" t="str">
        <f t="shared" si="1"/>
        <v>#2 Noisy neighbors</v>
      </c>
      <c r="H36" t="str">
        <f t="shared" si="2"/>
        <v>#3 Bad smells</v>
      </c>
      <c r="I36">
        <v>52</v>
      </c>
      <c r="J36">
        <v>5</v>
      </c>
      <c r="K36">
        <v>3</v>
      </c>
    </row>
    <row r="37" spans="1:11">
      <c r="A37" t="s">
        <v>68</v>
      </c>
      <c r="B37">
        <v>12</v>
      </c>
      <c r="C37" t="s">
        <v>94</v>
      </c>
      <c r="D37" t="s">
        <v>88</v>
      </c>
      <c r="E37" t="s">
        <v>92</v>
      </c>
      <c r="F37" t="str">
        <f t="shared" si="0"/>
        <v>#1 Temperature of their room</v>
      </c>
      <c r="G37" t="str">
        <f t="shared" si="1"/>
        <v>#2 Noisy neighbors</v>
      </c>
      <c r="H37" t="str">
        <f t="shared" si="2"/>
        <v>#3 Bad smells</v>
      </c>
      <c r="I37">
        <v>54</v>
      </c>
      <c r="J37">
        <v>5</v>
      </c>
      <c r="K37">
        <v>1</v>
      </c>
    </row>
    <row r="38" spans="1:11">
      <c r="A38" t="s">
        <v>69</v>
      </c>
      <c r="B38">
        <v>1</v>
      </c>
      <c r="C38" t="s">
        <v>85</v>
      </c>
      <c r="D38" t="s">
        <v>87</v>
      </c>
      <c r="E38" t="s">
        <v>86</v>
      </c>
      <c r="F38" t="str">
        <f t="shared" si="0"/>
        <v>#1 Doesn’t match the website/brochure</v>
      </c>
      <c r="G38" t="str">
        <f t="shared" si="1"/>
        <v>#2 Low-quality food</v>
      </c>
      <c r="H38" t="str">
        <f t="shared" si="2"/>
        <v>#3 Faulty electronics</v>
      </c>
      <c r="I38">
        <v>1</v>
      </c>
      <c r="J38">
        <v>6</v>
      </c>
      <c r="K38">
        <v>2</v>
      </c>
    </row>
    <row r="39" spans="1:11">
      <c r="A39" t="s">
        <v>69</v>
      </c>
      <c r="B39">
        <v>2</v>
      </c>
      <c r="C39" t="s">
        <v>85</v>
      </c>
      <c r="D39" t="s">
        <v>87</v>
      </c>
      <c r="E39" t="s">
        <v>86</v>
      </c>
      <c r="F39" t="str">
        <f t="shared" si="0"/>
        <v>#1 Doesn’t match the website/brochure</v>
      </c>
      <c r="G39" t="str">
        <f t="shared" si="1"/>
        <v>#2 Low-quality food</v>
      </c>
      <c r="H39" t="str">
        <f t="shared" si="2"/>
        <v>#3 Faulty electronics</v>
      </c>
      <c r="I39">
        <v>5</v>
      </c>
      <c r="J39">
        <v>3</v>
      </c>
      <c r="K39">
        <v>1</v>
      </c>
    </row>
    <row r="40" spans="1:11">
      <c r="A40" t="s">
        <v>69</v>
      </c>
      <c r="B40">
        <v>3</v>
      </c>
      <c r="C40" t="s">
        <v>85</v>
      </c>
      <c r="D40" t="s">
        <v>87</v>
      </c>
      <c r="E40" t="s">
        <v>86</v>
      </c>
      <c r="F40" t="str">
        <f t="shared" si="0"/>
        <v>#1 Doesn’t match the website/brochure</v>
      </c>
      <c r="G40" t="str">
        <f t="shared" si="1"/>
        <v>#2 Low-quality food</v>
      </c>
      <c r="H40" t="str">
        <f t="shared" si="2"/>
        <v>#3 Faulty electronics</v>
      </c>
      <c r="I40">
        <v>0</v>
      </c>
      <c r="J40">
        <v>3</v>
      </c>
      <c r="K40">
        <v>3</v>
      </c>
    </row>
    <row r="41" spans="1:11">
      <c r="A41" t="s">
        <v>69</v>
      </c>
      <c r="B41">
        <v>4</v>
      </c>
      <c r="C41" t="s">
        <v>85</v>
      </c>
      <c r="D41" t="s">
        <v>87</v>
      </c>
      <c r="E41" t="s">
        <v>86</v>
      </c>
      <c r="F41" t="str">
        <f t="shared" si="0"/>
        <v>#1 Doesn’t match the website/brochure</v>
      </c>
      <c r="G41" t="str">
        <f t="shared" si="1"/>
        <v>#2 Low-quality food</v>
      </c>
      <c r="H41" t="str">
        <f t="shared" si="2"/>
        <v>#3 Faulty electronics</v>
      </c>
      <c r="I41">
        <v>2</v>
      </c>
      <c r="J41">
        <v>2</v>
      </c>
      <c r="K41">
        <v>3</v>
      </c>
    </row>
    <row r="42" spans="1:11">
      <c r="A42" t="s">
        <v>69</v>
      </c>
      <c r="B42">
        <v>5</v>
      </c>
      <c r="C42" t="s">
        <v>85</v>
      </c>
      <c r="D42" t="s">
        <v>87</v>
      </c>
      <c r="E42" t="s">
        <v>86</v>
      </c>
      <c r="F42" t="str">
        <f t="shared" si="0"/>
        <v>#1 Doesn’t match the website/brochure</v>
      </c>
      <c r="G42" t="str">
        <f t="shared" si="1"/>
        <v>#2 Low-quality food</v>
      </c>
      <c r="H42" t="str">
        <f t="shared" si="2"/>
        <v>#3 Faulty electronics</v>
      </c>
      <c r="I42">
        <v>4</v>
      </c>
      <c r="J42">
        <v>3</v>
      </c>
      <c r="K42">
        <v>3</v>
      </c>
    </row>
    <row r="43" spans="1:11">
      <c r="A43" t="s">
        <v>69</v>
      </c>
      <c r="B43">
        <v>6</v>
      </c>
      <c r="C43" t="s">
        <v>85</v>
      </c>
      <c r="D43" t="s">
        <v>87</v>
      </c>
      <c r="E43" t="s">
        <v>86</v>
      </c>
      <c r="F43" t="str">
        <f t="shared" si="0"/>
        <v>#1 Doesn’t match the website/brochure</v>
      </c>
      <c r="G43" t="str">
        <f t="shared" si="1"/>
        <v>#2 Low-quality food</v>
      </c>
      <c r="H43" t="str">
        <f t="shared" si="2"/>
        <v>#3 Faulty electronics</v>
      </c>
      <c r="I43">
        <v>1</v>
      </c>
      <c r="J43">
        <v>0</v>
      </c>
      <c r="K43">
        <v>0</v>
      </c>
    </row>
    <row r="44" spans="1:11">
      <c r="A44" t="s">
        <v>69</v>
      </c>
      <c r="B44">
        <v>7</v>
      </c>
      <c r="C44" t="s">
        <v>85</v>
      </c>
      <c r="D44" t="s">
        <v>87</v>
      </c>
      <c r="E44" t="s">
        <v>86</v>
      </c>
      <c r="F44" t="str">
        <f t="shared" si="0"/>
        <v>#1 Doesn’t match the website/brochure</v>
      </c>
      <c r="G44" t="str">
        <f t="shared" si="1"/>
        <v>#2 Low-quality food</v>
      </c>
      <c r="H44" t="str">
        <f t="shared" si="2"/>
        <v>#3 Faulty electronics</v>
      </c>
      <c r="I44">
        <v>6</v>
      </c>
      <c r="J44">
        <v>1</v>
      </c>
      <c r="K44">
        <v>1</v>
      </c>
    </row>
    <row r="45" spans="1:11">
      <c r="A45" t="s">
        <v>69</v>
      </c>
      <c r="B45">
        <v>8</v>
      </c>
      <c r="C45" t="s">
        <v>85</v>
      </c>
      <c r="D45" t="s">
        <v>87</v>
      </c>
      <c r="E45" t="s">
        <v>86</v>
      </c>
      <c r="F45" t="str">
        <f t="shared" si="0"/>
        <v>#1 Doesn’t match the website/brochure</v>
      </c>
      <c r="G45" t="str">
        <f t="shared" si="1"/>
        <v>#2 Low-quality food</v>
      </c>
      <c r="H45" t="str">
        <f t="shared" si="2"/>
        <v>#3 Faulty electronics</v>
      </c>
      <c r="I45">
        <v>5</v>
      </c>
      <c r="J45">
        <v>0</v>
      </c>
      <c r="K45">
        <v>1</v>
      </c>
    </row>
    <row r="46" spans="1:11">
      <c r="A46" t="s">
        <v>69</v>
      </c>
      <c r="B46">
        <v>9</v>
      </c>
      <c r="C46" t="s">
        <v>85</v>
      </c>
      <c r="D46" t="s">
        <v>87</v>
      </c>
      <c r="E46" t="s">
        <v>86</v>
      </c>
      <c r="F46" t="str">
        <f t="shared" si="0"/>
        <v>#1 Doesn’t match the website/brochure</v>
      </c>
      <c r="G46" t="str">
        <f t="shared" si="1"/>
        <v>#2 Low-quality food</v>
      </c>
      <c r="H46" t="str">
        <f t="shared" si="2"/>
        <v>#3 Faulty electronics</v>
      </c>
      <c r="I46">
        <v>1</v>
      </c>
      <c r="J46">
        <v>0</v>
      </c>
      <c r="K46">
        <v>1</v>
      </c>
    </row>
    <row r="47" spans="1:11">
      <c r="A47" t="s">
        <v>69</v>
      </c>
      <c r="B47">
        <v>10</v>
      </c>
      <c r="C47" t="s">
        <v>85</v>
      </c>
      <c r="D47" t="s">
        <v>87</v>
      </c>
      <c r="E47" t="s">
        <v>86</v>
      </c>
      <c r="F47" t="str">
        <f t="shared" si="0"/>
        <v>#1 Doesn’t match the website/brochure</v>
      </c>
      <c r="G47" t="str">
        <f t="shared" si="1"/>
        <v>#2 Low-quality food</v>
      </c>
      <c r="H47" t="str">
        <f t="shared" si="2"/>
        <v>#3 Faulty electronics</v>
      </c>
      <c r="I47">
        <v>1</v>
      </c>
      <c r="J47">
        <v>2</v>
      </c>
      <c r="K47">
        <v>1</v>
      </c>
    </row>
    <row r="48" spans="1:11">
      <c r="A48" t="s">
        <v>69</v>
      </c>
      <c r="B48">
        <v>11</v>
      </c>
      <c r="C48" t="s">
        <v>85</v>
      </c>
      <c r="D48" t="s">
        <v>87</v>
      </c>
      <c r="E48" t="s">
        <v>86</v>
      </c>
      <c r="F48" t="str">
        <f t="shared" si="0"/>
        <v>#1 Doesn’t match the website/brochure</v>
      </c>
      <c r="G48" t="str">
        <f t="shared" si="1"/>
        <v>#2 Low-quality food</v>
      </c>
      <c r="H48" t="str">
        <f t="shared" si="2"/>
        <v>#3 Faulty electronics</v>
      </c>
      <c r="I48">
        <v>1</v>
      </c>
      <c r="J48">
        <v>0</v>
      </c>
      <c r="K48">
        <v>2</v>
      </c>
    </row>
    <row r="49" spans="1:11">
      <c r="A49" t="s">
        <v>69</v>
      </c>
      <c r="B49">
        <v>12</v>
      </c>
      <c r="C49" t="s">
        <v>85</v>
      </c>
      <c r="D49" t="s">
        <v>87</v>
      </c>
      <c r="E49" t="s">
        <v>86</v>
      </c>
      <c r="F49" t="str">
        <f t="shared" si="0"/>
        <v>#1 Doesn’t match the website/brochure</v>
      </c>
      <c r="G49" t="str">
        <f t="shared" si="1"/>
        <v>#2 Low-quality food</v>
      </c>
      <c r="H49" t="str">
        <f t="shared" si="2"/>
        <v>#3 Faulty electronics</v>
      </c>
      <c r="I49">
        <v>4</v>
      </c>
      <c r="J49">
        <v>0</v>
      </c>
      <c r="K49">
        <v>0</v>
      </c>
    </row>
    <row r="50" spans="1:11">
      <c r="A50" t="s">
        <v>70</v>
      </c>
      <c r="B50">
        <v>1</v>
      </c>
      <c r="C50" t="s">
        <v>87</v>
      </c>
      <c r="D50" t="s">
        <v>86</v>
      </c>
      <c r="E50" t="s">
        <v>85</v>
      </c>
      <c r="F50" t="str">
        <f t="shared" si="0"/>
        <v>#1 Low-quality food</v>
      </c>
      <c r="G50" t="str">
        <f t="shared" si="1"/>
        <v>#2 Faulty electronics</v>
      </c>
      <c r="H50" t="str">
        <f t="shared" si="2"/>
        <v>#3 Doesn’t match the website/brochure</v>
      </c>
      <c r="I50">
        <v>6</v>
      </c>
      <c r="J50">
        <v>1</v>
      </c>
      <c r="K50">
        <v>2</v>
      </c>
    </row>
    <row r="51" spans="1:11">
      <c r="A51" t="s">
        <v>70</v>
      </c>
      <c r="B51">
        <v>2</v>
      </c>
      <c r="C51" t="s">
        <v>87</v>
      </c>
      <c r="D51" t="s">
        <v>86</v>
      </c>
      <c r="E51" t="s">
        <v>85</v>
      </c>
      <c r="F51" t="str">
        <f t="shared" si="0"/>
        <v>#1 Low-quality food</v>
      </c>
      <c r="G51" t="str">
        <f t="shared" si="1"/>
        <v>#2 Faulty electronics</v>
      </c>
      <c r="H51" t="str">
        <f t="shared" si="2"/>
        <v>#3 Doesn’t match the website/brochure</v>
      </c>
      <c r="I51">
        <v>8</v>
      </c>
      <c r="J51">
        <v>2</v>
      </c>
      <c r="K51">
        <v>3</v>
      </c>
    </row>
    <row r="52" spans="1:11">
      <c r="A52" t="s">
        <v>70</v>
      </c>
      <c r="B52">
        <v>3</v>
      </c>
      <c r="C52" t="s">
        <v>87</v>
      </c>
      <c r="D52" t="s">
        <v>86</v>
      </c>
      <c r="E52" t="s">
        <v>85</v>
      </c>
      <c r="F52" t="str">
        <f t="shared" si="0"/>
        <v>#1 Low-quality food</v>
      </c>
      <c r="G52" t="str">
        <f t="shared" si="1"/>
        <v>#2 Faulty electronics</v>
      </c>
      <c r="H52" t="str">
        <f t="shared" si="2"/>
        <v>#3 Doesn’t match the website/brochure</v>
      </c>
      <c r="I52">
        <v>5</v>
      </c>
      <c r="J52">
        <v>3</v>
      </c>
      <c r="K52">
        <v>1</v>
      </c>
    </row>
    <row r="53" spans="1:11">
      <c r="A53" t="s">
        <v>70</v>
      </c>
      <c r="B53">
        <v>4</v>
      </c>
      <c r="C53" t="s">
        <v>87</v>
      </c>
      <c r="D53" t="s">
        <v>86</v>
      </c>
      <c r="E53" t="s">
        <v>85</v>
      </c>
      <c r="F53" t="str">
        <f t="shared" si="0"/>
        <v>#1 Low-quality food</v>
      </c>
      <c r="G53" t="str">
        <f t="shared" si="1"/>
        <v>#2 Faulty electronics</v>
      </c>
      <c r="H53" t="str">
        <f t="shared" si="2"/>
        <v>#3 Doesn’t match the website/brochure</v>
      </c>
      <c r="I53">
        <v>4</v>
      </c>
      <c r="J53">
        <v>2</v>
      </c>
      <c r="K53">
        <v>0</v>
      </c>
    </row>
    <row r="54" spans="1:11">
      <c r="A54" t="s">
        <v>70</v>
      </c>
      <c r="B54">
        <v>5</v>
      </c>
      <c r="C54" t="s">
        <v>87</v>
      </c>
      <c r="D54" t="s">
        <v>86</v>
      </c>
      <c r="E54" t="s">
        <v>85</v>
      </c>
      <c r="F54" t="str">
        <f t="shared" si="0"/>
        <v>#1 Low-quality food</v>
      </c>
      <c r="G54" t="str">
        <f t="shared" si="1"/>
        <v>#2 Faulty electronics</v>
      </c>
      <c r="H54" t="str">
        <f t="shared" si="2"/>
        <v>#3 Doesn’t match the website/brochure</v>
      </c>
      <c r="I54">
        <v>7</v>
      </c>
      <c r="J54">
        <v>6</v>
      </c>
      <c r="K54">
        <v>2</v>
      </c>
    </row>
    <row r="55" spans="1:11">
      <c r="A55" t="s">
        <v>70</v>
      </c>
      <c r="B55">
        <v>6</v>
      </c>
      <c r="C55" t="s">
        <v>87</v>
      </c>
      <c r="D55" t="s">
        <v>86</v>
      </c>
      <c r="E55" t="s">
        <v>85</v>
      </c>
      <c r="F55" t="str">
        <f t="shared" si="0"/>
        <v>#1 Low-quality food</v>
      </c>
      <c r="G55" t="str">
        <f t="shared" si="1"/>
        <v>#2 Faulty electronics</v>
      </c>
      <c r="H55" t="str">
        <f t="shared" si="2"/>
        <v>#3 Doesn’t match the website/brochure</v>
      </c>
      <c r="I55">
        <v>0</v>
      </c>
      <c r="J55">
        <v>2</v>
      </c>
      <c r="K55">
        <v>0</v>
      </c>
    </row>
    <row r="56" spans="1:11">
      <c r="A56" t="s">
        <v>70</v>
      </c>
      <c r="B56">
        <v>7</v>
      </c>
      <c r="C56" t="s">
        <v>87</v>
      </c>
      <c r="D56" t="s">
        <v>86</v>
      </c>
      <c r="E56" t="s">
        <v>85</v>
      </c>
      <c r="F56" t="str">
        <f t="shared" si="0"/>
        <v>#1 Low-quality food</v>
      </c>
      <c r="G56" t="str">
        <f t="shared" si="1"/>
        <v>#2 Faulty electronics</v>
      </c>
      <c r="H56" t="str">
        <f t="shared" si="2"/>
        <v>#3 Doesn’t match the website/brochure</v>
      </c>
      <c r="I56">
        <v>0</v>
      </c>
      <c r="J56">
        <v>1</v>
      </c>
      <c r="K56">
        <v>1</v>
      </c>
    </row>
    <row r="57" spans="1:11">
      <c r="A57" t="s">
        <v>70</v>
      </c>
      <c r="B57">
        <v>8</v>
      </c>
      <c r="C57" t="s">
        <v>87</v>
      </c>
      <c r="D57" t="s">
        <v>86</v>
      </c>
      <c r="E57" t="s">
        <v>85</v>
      </c>
      <c r="F57" t="str">
        <f t="shared" si="0"/>
        <v>#1 Low-quality food</v>
      </c>
      <c r="G57" t="str">
        <f t="shared" si="1"/>
        <v>#2 Faulty electronics</v>
      </c>
      <c r="H57" t="str">
        <f t="shared" si="2"/>
        <v>#3 Doesn’t match the website/brochure</v>
      </c>
      <c r="I57">
        <v>0</v>
      </c>
      <c r="J57">
        <v>4</v>
      </c>
      <c r="K57">
        <v>0</v>
      </c>
    </row>
    <row r="58" spans="1:11">
      <c r="A58" t="s">
        <v>70</v>
      </c>
      <c r="B58">
        <v>9</v>
      </c>
      <c r="C58" t="s">
        <v>87</v>
      </c>
      <c r="D58" t="s">
        <v>86</v>
      </c>
      <c r="E58" t="s">
        <v>85</v>
      </c>
      <c r="F58" t="str">
        <f t="shared" si="0"/>
        <v>#1 Low-quality food</v>
      </c>
      <c r="G58" t="str">
        <f t="shared" si="1"/>
        <v>#2 Faulty electronics</v>
      </c>
      <c r="H58" t="str">
        <f t="shared" si="2"/>
        <v>#3 Doesn’t match the website/brochure</v>
      </c>
      <c r="I58">
        <v>1</v>
      </c>
      <c r="J58">
        <v>2</v>
      </c>
      <c r="K58">
        <v>3</v>
      </c>
    </row>
    <row r="59" spans="1:11">
      <c r="A59" t="s">
        <v>70</v>
      </c>
      <c r="B59">
        <v>10</v>
      </c>
      <c r="C59" t="s">
        <v>87</v>
      </c>
      <c r="D59" t="s">
        <v>86</v>
      </c>
      <c r="E59" t="s">
        <v>85</v>
      </c>
      <c r="F59" t="str">
        <f t="shared" si="0"/>
        <v>#1 Low-quality food</v>
      </c>
      <c r="G59" t="str">
        <f t="shared" si="1"/>
        <v>#2 Faulty electronics</v>
      </c>
      <c r="H59" t="str">
        <f t="shared" si="2"/>
        <v>#3 Doesn’t match the website/brochure</v>
      </c>
      <c r="I59">
        <v>0</v>
      </c>
      <c r="J59">
        <v>4</v>
      </c>
      <c r="K59">
        <v>2</v>
      </c>
    </row>
    <row r="60" spans="1:11">
      <c r="A60" t="s">
        <v>70</v>
      </c>
      <c r="B60">
        <v>11</v>
      </c>
      <c r="C60" t="s">
        <v>87</v>
      </c>
      <c r="D60" t="s">
        <v>86</v>
      </c>
      <c r="E60" t="s">
        <v>85</v>
      </c>
      <c r="F60" t="str">
        <f t="shared" si="0"/>
        <v>#1 Low-quality food</v>
      </c>
      <c r="G60" t="str">
        <f t="shared" si="1"/>
        <v>#2 Faulty electronics</v>
      </c>
      <c r="H60" t="str">
        <f t="shared" si="2"/>
        <v>#3 Doesn’t match the website/brochure</v>
      </c>
      <c r="I60">
        <v>0</v>
      </c>
      <c r="J60">
        <v>3</v>
      </c>
      <c r="K60">
        <v>3</v>
      </c>
    </row>
    <row r="61" spans="1:11">
      <c r="A61" t="s">
        <v>70</v>
      </c>
      <c r="B61">
        <v>12</v>
      </c>
      <c r="C61" t="s">
        <v>87</v>
      </c>
      <c r="D61" t="s">
        <v>86</v>
      </c>
      <c r="E61" t="s">
        <v>85</v>
      </c>
      <c r="F61" t="str">
        <f t="shared" si="0"/>
        <v>#1 Low-quality food</v>
      </c>
      <c r="G61" t="str">
        <f t="shared" si="1"/>
        <v>#2 Faulty electronics</v>
      </c>
      <c r="H61" t="str">
        <f t="shared" si="2"/>
        <v>#3 Doesn’t match the website/brochure</v>
      </c>
      <c r="I61">
        <v>1</v>
      </c>
      <c r="J61">
        <v>0</v>
      </c>
      <c r="K61">
        <v>3</v>
      </c>
    </row>
    <row r="62" spans="1:11">
      <c r="A62" t="s">
        <v>71</v>
      </c>
      <c r="B62">
        <v>1</v>
      </c>
      <c r="C62" t="s">
        <v>88</v>
      </c>
      <c r="D62" t="s">
        <v>92</v>
      </c>
      <c r="E62" t="s">
        <v>86</v>
      </c>
      <c r="F62" t="str">
        <f t="shared" si="0"/>
        <v>#1 Noisy neighbors</v>
      </c>
      <c r="G62" t="str">
        <f t="shared" si="1"/>
        <v>#2 Bad smells</v>
      </c>
      <c r="H62" t="str">
        <f t="shared" si="2"/>
        <v>#3 Faulty electronics</v>
      </c>
      <c r="I62">
        <v>16</v>
      </c>
      <c r="J62">
        <v>23</v>
      </c>
      <c r="K62">
        <v>6</v>
      </c>
    </row>
    <row r="63" spans="1:11">
      <c r="A63" t="s">
        <v>71</v>
      </c>
      <c r="B63">
        <v>2</v>
      </c>
      <c r="C63" t="s">
        <v>88</v>
      </c>
      <c r="D63" t="s">
        <v>92</v>
      </c>
      <c r="E63" t="s">
        <v>86</v>
      </c>
      <c r="F63" t="str">
        <f t="shared" si="0"/>
        <v>#1 Noisy neighbors</v>
      </c>
      <c r="G63" t="str">
        <f t="shared" si="1"/>
        <v>#2 Bad smells</v>
      </c>
      <c r="H63" t="str">
        <f t="shared" si="2"/>
        <v>#3 Faulty electronics</v>
      </c>
      <c r="I63">
        <v>34</v>
      </c>
      <c r="J63">
        <v>19</v>
      </c>
      <c r="K63">
        <v>5</v>
      </c>
    </row>
    <row r="64" spans="1:11">
      <c r="A64" t="s">
        <v>71</v>
      </c>
      <c r="B64">
        <v>3</v>
      </c>
      <c r="C64" t="s">
        <v>88</v>
      </c>
      <c r="D64" t="s">
        <v>92</v>
      </c>
      <c r="E64" t="s">
        <v>86</v>
      </c>
      <c r="F64" t="str">
        <f t="shared" si="0"/>
        <v>#1 Noisy neighbors</v>
      </c>
      <c r="G64" t="str">
        <f t="shared" si="1"/>
        <v>#2 Bad smells</v>
      </c>
      <c r="H64" t="str">
        <f t="shared" si="2"/>
        <v>#3 Faulty electronics</v>
      </c>
      <c r="I64">
        <v>12</v>
      </c>
      <c r="J64">
        <v>7</v>
      </c>
      <c r="K64">
        <v>11</v>
      </c>
    </row>
    <row r="65" spans="1:11">
      <c r="A65" t="s">
        <v>71</v>
      </c>
      <c r="B65">
        <v>4</v>
      </c>
      <c r="C65" t="s">
        <v>88</v>
      </c>
      <c r="D65" t="s">
        <v>92</v>
      </c>
      <c r="E65" t="s">
        <v>86</v>
      </c>
      <c r="F65" t="str">
        <f t="shared" si="0"/>
        <v>#1 Noisy neighbors</v>
      </c>
      <c r="G65" t="str">
        <f t="shared" si="1"/>
        <v>#2 Bad smells</v>
      </c>
      <c r="H65" t="str">
        <f t="shared" si="2"/>
        <v>#3 Faulty electronics</v>
      </c>
      <c r="I65">
        <v>28</v>
      </c>
      <c r="J65">
        <v>11</v>
      </c>
      <c r="K65">
        <v>8</v>
      </c>
    </row>
    <row r="66" spans="1:11">
      <c r="A66" t="s">
        <v>71</v>
      </c>
      <c r="B66">
        <v>5</v>
      </c>
      <c r="C66" t="s">
        <v>88</v>
      </c>
      <c r="D66" t="s">
        <v>92</v>
      </c>
      <c r="E66" t="s">
        <v>86</v>
      </c>
      <c r="F66" t="str">
        <f t="shared" si="0"/>
        <v>#1 Noisy neighbors</v>
      </c>
      <c r="G66" t="str">
        <f t="shared" si="1"/>
        <v>#2 Bad smells</v>
      </c>
      <c r="H66" t="str">
        <f t="shared" si="2"/>
        <v>#3 Faulty electronics</v>
      </c>
      <c r="I66">
        <v>16</v>
      </c>
      <c r="J66">
        <v>11</v>
      </c>
      <c r="K66">
        <v>11</v>
      </c>
    </row>
    <row r="67" spans="1:11">
      <c r="A67" t="s">
        <v>71</v>
      </c>
      <c r="B67">
        <v>6</v>
      </c>
      <c r="C67" t="s">
        <v>88</v>
      </c>
      <c r="D67" t="s">
        <v>92</v>
      </c>
      <c r="E67" t="s">
        <v>86</v>
      </c>
      <c r="F67" t="str">
        <f t="shared" ref="F67:F73" si="3">"#1 "&amp;C67</f>
        <v>#1 Noisy neighbors</v>
      </c>
      <c r="G67" t="str">
        <f t="shared" ref="G67:G73" si="4">"#2 "&amp;D67</f>
        <v>#2 Bad smells</v>
      </c>
      <c r="H67" t="str">
        <f t="shared" ref="H67:H73" si="5">"#3 "&amp;E67</f>
        <v>#3 Faulty electronics</v>
      </c>
      <c r="I67">
        <v>9</v>
      </c>
      <c r="J67">
        <v>12</v>
      </c>
      <c r="K67">
        <v>3</v>
      </c>
    </row>
    <row r="68" spans="1:11">
      <c r="A68" t="s">
        <v>71</v>
      </c>
      <c r="B68">
        <v>7</v>
      </c>
      <c r="C68" t="s">
        <v>88</v>
      </c>
      <c r="D68" t="s">
        <v>92</v>
      </c>
      <c r="E68" t="s">
        <v>86</v>
      </c>
      <c r="F68" t="str">
        <f t="shared" si="3"/>
        <v>#1 Noisy neighbors</v>
      </c>
      <c r="G68" t="str">
        <f t="shared" si="4"/>
        <v>#2 Bad smells</v>
      </c>
      <c r="H68" t="str">
        <f t="shared" si="5"/>
        <v>#3 Faulty electronics</v>
      </c>
      <c r="I68">
        <v>19</v>
      </c>
      <c r="J68">
        <v>8</v>
      </c>
      <c r="K68">
        <v>3</v>
      </c>
    </row>
    <row r="69" spans="1:11">
      <c r="A69" t="s">
        <v>71</v>
      </c>
      <c r="B69">
        <v>8</v>
      </c>
      <c r="C69" t="s">
        <v>88</v>
      </c>
      <c r="D69" t="s">
        <v>92</v>
      </c>
      <c r="E69" t="s">
        <v>86</v>
      </c>
      <c r="F69" t="str">
        <f t="shared" si="3"/>
        <v>#1 Noisy neighbors</v>
      </c>
      <c r="G69" t="str">
        <f t="shared" si="4"/>
        <v>#2 Bad smells</v>
      </c>
      <c r="H69" t="str">
        <f t="shared" si="5"/>
        <v>#3 Faulty electronics</v>
      </c>
      <c r="I69">
        <v>21</v>
      </c>
      <c r="J69">
        <v>10</v>
      </c>
      <c r="K69">
        <v>6</v>
      </c>
    </row>
    <row r="70" spans="1:11">
      <c r="A70" t="s">
        <v>71</v>
      </c>
      <c r="B70">
        <v>9</v>
      </c>
      <c r="C70" t="s">
        <v>88</v>
      </c>
      <c r="D70" t="s">
        <v>92</v>
      </c>
      <c r="E70" t="s">
        <v>86</v>
      </c>
      <c r="F70" t="str">
        <f t="shared" si="3"/>
        <v>#1 Noisy neighbors</v>
      </c>
      <c r="G70" t="str">
        <f t="shared" si="4"/>
        <v>#2 Bad smells</v>
      </c>
      <c r="H70" t="str">
        <f t="shared" si="5"/>
        <v>#3 Faulty electronics</v>
      </c>
      <c r="I70">
        <v>5</v>
      </c>
      <c r="J70">
        <v>11</v>
      </c>
      <c r="K70">
        <v>2</v>
      </c>
    </row>
    <row r="71" spans="1:11">
      <c r="A71" t="s">
        <v>71</v>
      </c>
      <c r="B71">
        <v>10</v>
      </c>
      <c r="C71" t="s">
        <v>88</v>
      </c>
      <c r="D71" t="s">
        <v>92</v>
      </c>
      <c r="E71" t="s">
        <v>86</v>
      </c>
      <c r="F71" t="str">
        <f t="shared" si="3"/>
        <v>#1 Noisy neighbors</v>
      </c>
      <c r="G71" t="str">
        <f t="shared" si="4"/>
        <v>#2 Bad smells</v>
      </c>
      <c r="H71" t="str">
        <f t="shared" si="5"/>
        <v>#3 Faulty electronics</v>
      </c>
      <c r="I71">
        <v>23</v>
      </c>
      <c r="J71">
        <v>37</v>
      </c>
      <c r="K71">
        <v>19</v>
      </c>
    </row>
    <row r="72" spans="1:11">
      <c r="A72" t="s">
        <v>71</v>
      </c>
      <c r="B72">
        <v>11</v>
      </c>
      <c r="C72" t="s">
        <v>88</v>
      </c>
      <c r="D72" t="s">
        <v>92</v>
      </c>
      <c r="E72" t="s">
        <v>86</v>
      </c>
      <c r="F72" t="str">
        <f t="shared" si="3"/>
        <v>#1 Noisy neighbors</v>
      </c>
      <c r="G72" t="str">
        <f t="shared" si="4"/>
        <v>#2 Bad smells</v>
      </c>
      <c r="H72" t="str">
        <f t="shared" si="5"/>
        <v>#3 Faulty electronics</v>
      </c>
      <c r="I72">
        <v>6</v>
      </c>
      <c r="J72">
        <v>5</v>
      </c>
      <c r="K72">
        <v>7</v>
      </c>
    </row>
    <row r="73" spans="1:11">
      <c r="A73" t="s">
        <v>71</v>
      </c>
      <c r="B73">
        <v>12</v>
      </c>
      <c r="C73" t="s">
        <v>88</v>
      </c>
      <c r="D73" t="s">
        <v>92</v>
      </c>
      <c r="E73" t="s">
        <v>86</v>
      </c>
      <c r="F73" t="str">
        <f t="shared" si="3"/>
        <v>#1 Noisy neighbors</v>
      </c>
      <c r="G73" t="str">
        <f t="shared" si="4"/>
        <v>#2 Bad smells</v>
      </c>
      <c r="H73" t="str">
        <f t="shared" si="5"/>
        <v>#3 Faulty electronics</v>
      </c>
      <c r="I73">
        <v>23</v>
      </c>
      <c r="J73">
        <v>13</v>
      </c>
      <c r="K73">
        <v>8</v>
      </c>
    </row>
  </sheetData>
  <sortState xmlns:xlrd2="http://schemas.microsoft.com/office/spreadsheetml/2017/richdata2" ref="A2:E218">
    <sortCondition ref="A2:A218"/>
    <sortCondition ref="B2:B218"/>
    <sortCondition descending="1" ref="E2:E218"/>
    <sortCondition ref="C2:C21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E56F-AAD0-45DD-AED2-1DDF0978065A}">
  <dimension ref="A1:B12"/>
  <sheetViews>
    <sheetView workbookViewId="0">
      <selection activeCell="D20" sqref="D20:D21"/>
    </sheetView>
  </sheetViews>
  <sheetFormatPr defaultRowHeight="14.5"/>
  <cols>
    <col min="1" max="2" width="23" customWidth="1"/>
  </cols>
  <sheetData>
    <row r="1" spans="1:2">
      <c r="A1" s="27" t="s">
        <v>96</v>
      </c>
      <c r="B1" s="27" t="s">
        <v>33</v>
      </c>
    </row>
    <row r="2" spans="1:2">
      <c r="A2" t="s">
        <v>94</v>
      </c>
      <c r="B2">
        <v>485</v>
      </c>
    </row>
    <row r="3" spans="1:2">
      <c r="A3" t="s">
        <v>88</v>
      </c>
      <c r="B3">
        <v>399</v>
      </c>
    </row>
    <row r="4" spans="1:2">
      <c r="A4" t="s">
        <v>92</v>
      </c>
      <c r="B4">
        <v>283</v>
      </c>
    </row>
    <row r="5" spans="1:2">
      <c r="A5" t="s">
        <v>86</v>
      </c>
      <c r="B5">
        <v>278</v>
      </c>
    </row>
    <row r="6" spans="1:2">
      <c r="A6" t="s">
        <v>85</v>
      </c>
      <c r="B6">
        <v>221</v>
      </c>
    </row>
    <row r="7" spans="1:2">
      <c r="A7" t="s">
        <v>87</v>
      </c>
      <c r="B7">
        <v>189</v>
      </c>
    </row>
    <row r="8" spans="1:2">
      <c r="A8" t="s">
        <v>89</v>
      </c>
      <c r="B8">
        <v>182</v>
      </c>
    </row>
    <row r="9" spans="1:2">
      <c r="A9" t="s">
        <v>90</v>
      </c>
      <c r="B9">
        <v>178</v>
      </c>
    </row>
    <row r="10" spans="1:2">
      <c r="A10" t="s">
        <v>93</v>
      </c>
      <c r="B10">
        <v>146</v>
      </c>
    </row>
    <row r="11" spans="1:2">
      <c r="A11" t="s">
        <v>95</v>
      </c>
      <c r="B11">
        <v>146</v>
      </c>
    </row>
    <row r="12" spans="1:2">
      <c r="A12" t="s">
        <v>91</v>
      </c>
      <c r="B12">
        <v>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A3:B8"/>
  <sheetViews>
    <sheetView workbookViewId="0">
      <selection activeCell="B8" sqref="B3:B8"/>
    </sheetView>
  </sheetViews>
  <sheetFormatPr defaultRowHeight="14.5"/>
  <cols>
    <col min="2" max="2" width="31.7265625" customWidth="1"/>
  </cols>
  <sheetData>
    <row r="3" spans="1:2">
      <c r="A3">
        <v>1</v>
      </c>
      <c r="B3" t="s">
        <v>24</v>
      </c>
    </row>
    <row r="4" spans="1:2">
      <c r="A4">
        <v>2</v>
      </c>
      <c r="B4" t="s">
        <v>28</v>
      </c>
    </row>
    <row r="5" spans="1:2">
      <c r="A5">
        <v>3</v>
      </c>
      <c r="B5" t="s">
        <v>22</v>
      </c>
    </row>
    <row r="6" spans="1:2">
      <c r="A6">
        <v>4</v>
      </c>
      <c r="B6" t="s">
        <v>27</v>
      </c>
    </row>
    <row r="7" spans="1:2">
      <c r="A7">
        <v>5</v>
      </c>
      <c r="B7" t="s">
        <v>29</v>
      </c>
    </row>
    <row r="8" spans="1:2">
      <c r="A8">
        <v>6</v>
      </c>
      <c r="B8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Revenue</vt:lpstr>
      <vt:lpstr>Revenue Dash</vt:lpstr>
      <vt:lpstr>Concerns</vt:lpstr>
      <vt:lpstr>Concerns Dash</vt:lpstr>
      <vt:lpstr>Revenue - Data</vt:lpstr>
      <vt:lpstr>Concerns dash data</vt:lpstr>
      <vt:lpstr>Concerns barplot Data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2022-05-19T15:36:30Z</dcterms:modified>
</cp:coreProperties>
</file>